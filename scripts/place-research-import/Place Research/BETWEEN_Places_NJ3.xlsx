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J-3 Plac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sz val="14"/>
    </font>
    <font>
      <name val="Arial"/>
      <b val="1"/>
    </font>
    <font>
      <name val="Arial"/>
      <sz val="10"/>
    </font>
  </fonts>
  <fills count="10">
    <fill>
      <patternFill/>
    </fill>
    <fill>
      <patternFill patternType="gray125"/>
    </fill>
    <fill>
      <patternFill patternType="solid">
        <fgColor rgb="001F3864"/>
      </patternFill>
    </fill>
    <fill>
      <patternFill patternType="solid">
        <fgColor rgb="00D6EAF8"/>
      </patternFill>
    </fill>
    <fill>
      <patternFill patternType="solid">
        <fgColor rgb="00D5F5E3"/>
      </patternFill>
    </fill>
    <fill>
      <patternFill patternType="solid">
        <fgColor rgb="00FEF9E7"/>
      </patternFill>
    </fill>
    <fill>
      <patternFill patternType="solid">
        <fgColor rgb="00FADBD8"/>
      </patternFill>
    </fill>
    <fill>
      <patternFill patternType="solid">
        <fgColor rgb="00E8DAEF"/>
      </patternFill>
    </fill>
    <fill>
      <patternFill patternType="solid">
        <fgColor rgb="00D1F2EB"/>
      </patternFill>
    </fill>
    <fill>
      <patternFill patternType="solid">
        <fgColor rgb="00FDEBD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3"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9"/>
  <sheetViews>
    <sheetView workbookViewId="0">
      <pane ySplit="1" topLeftCell="A2" activePane="bottomLeft" state="frozen"/>
      <selection pane="bottomLeft" activeCell="A1" sqref="A1"/>
    </sheetView>
  </sheetViews>
  <sheetFormatPr baseColWidth="8" defaultRowHeight="15"/>
  <cols>
    <col width="28" customWidth="1" min="1" max="1"/>
    <col width="30" customWidth="1" min="2" max="2"/>
    <col width="16" customWidth="1" min="3" max="3"/>
    <col width="6" customWidth="1" min="4" max="4"/>
    <col width="12" customWidth="1" min="5" max="5"/>
    <col width="12" customWidth="1" min="6" max="6"/>
    <col width="12" customWidth="1" min="7" max="7"/>
    <col width="12" customWidth="1" min="8" max="8"/>
    <col width="30" customWidth="1" min="9" max="9"/>
    <col width="60" customWidth="1" min="10" max="10"/>
    <col width="12" customWidth="1" min="11" max="11"/>
    <col width="20" customWidth="1" min="12" max="12"/>
    <col width="30" customWidth="1" min="13" max="13"/>
    <col width="35" customWidth="1" min="14" max="14"/>
    <col width="16" customWidth="1" min="15" max="15"/>
    <col width="40" customWidth="1" min="16" max="16"/>
    <col width="30" customWidth="1" min="17" max="17"/>
    <col width="40" customWidth="1" min="18" max="18"/>
  </cols>
  <sheetData>
    <row r="1" ht="28" customHeight="1">
      <c r="A1" s="1" t="inlineStr">
        <is>
          <t>name</t>
        </is>
      </c>
      <c r="B1" s="1" t="inlineStr">
        <is>
          <t>address</t>
        </is>
      </c>
      <c r="C1" s="1" t="inlineStr">
        <is>
          <t>city</t>
        </is>
      </c>
      <c r="D1" s="1" t="inlineStr">
        <is>
          <t>state</t>
        </is>
      </c>
      <c r="E1" s="1" t="inlineStr">
        <is>
          <t>county</t>
        </is>
      </c>
      <c r="F1" s="1" t="inlineStr">
        <is>
          <t>latitude</t>
        </is>
      </c>
      <c r="G1" s="1" t="inlineStr">
        <is>
          <t>longitude</t>
        </is>
      </c>
      <c r="H1" s="1" t="inlineStr">
        <is>
          <t>mode</t>
        </is>
      </c>
      <c r="I1" s="1" t="inlineStr">
        <is>
          <t>category_tags</t>
        </is>
      </c>
      <c r="J1" s="1" t="inlineStr">
        <is>
          <t>description</t>
        </is>
      </c>
      <c r="K1" s="1" t="inlineStr">
        <is>
          <t>source</t>
        </is>
      </c>
      <c r="L1" s="1" t="inlineStr">
        <is>
          <t>traditions</t>
        </is>
      </c>
      <c r="M1" s="1" t="inlineStr">
        <is>
          <t>cultural_sensitivities</t>
        </is>
      </c>
      <c r="N1" s="1" t="inlineStr">
        <is>
          <t>access_protocols</t>
        </is>
      </c>
      <c r="O1" s="1" t="inlineStr">
        <is>
          <t>indigenous_flag</t>
        </is>
      </c>
      <c r="P1" s="1" t="inlineStr">
        <is>
          <t>photo_url</t>
        </is>
      </c>
      <c r="Q1" s="1" t="inlineStr">
        <is>
          <t>photo_attribution</t>
        </is>
      </c>
      <c r="R1" s="1" t="inlineStr">
        <is>
          <t>notes</t>
        </is>
      </c>
    </row>
    <row r="2" ht="72" customHeight="1">
      <c r="A2" s="2" t="inlineStr">
        <is>
          <t>Hindenburg Crash Site Memorial</t>
        </is>
      </c>
      <c r="B2" s="2" t="inlineStr">
        <is>
          <t>Landsdowne Rd, JB McGuire-Dix-Lakehurst</t>
        </is>
      </c>
      <c r="C2" s="2" t="inlineStr">
        <is>
          <t>Lakehurst</t>
        </is>
      </c>
      <c r="D2" s="2" t="inlineStr">
        <is>
          <t>NJ</t>
        </is>
      </c>
      <c r="E2" s="2" t="inlineStr">
        <is>
          <t>Ocean</t>
        </is>
      </c>
      <c r="F2" s="2" t="n">
        <v>40.0268</v>
      </c>
      <c r="G2" s="2" t="n">
        <v>-74.3327</v>
      </c>
      <c r="H2" s="2" t="inlineStr">
        <is>
          <t>theophany</t>
        </is>
      </c>
      <c r="I2" s="2" t="inlineStr">
        <is>
          <t>disaster site, dark tourism, historical landmark, aviation history</t>
        </is>
      </c>
      <c r="J2" s="2" t="inlineStr">
        <is>
          <t>The airfield where the German zeppelin Hindenburg burst into flames on May 6, 1937, killing 36 people, is marked by a cement outline of the ship's hull stretching across the tarmac. Visitors consistently describe the experience of standing in that flat, open field — massive Hangar One looming behind them — as unexpectedly heavy, a confrontation with scale and loss that photographs do not prepare you for. The Lakehurst Heritage Center inside the hangar houses recovered artifacts from the wreck, and the hangar itself carries what many describe as a dense, ambient stillness.</t>
        </is>
      </c>
      <c r="K2" s="2" t="inlineStr">
        <is>
          <t>researched</t>
        </is>
      </c>
      <c r="L2" s="2" t="inlineStr">
        <is>
          <t>None</t>
        </is>
      </c>
      <c r="M2" s="2" t="inlineStr">
        <is>
          <t>Disaster memorial; active military base</t>
        </is>
      </c>
      <c r="N2" s="2" t="inlineStr">
        <is>
          <t>Tours only; US citizens; register at least 2 weeks in advance via tours@nlhs.com; Wednesdays and 2nd/4th Saturdays, 9:30am–1pm; start at Cathedral of the Air, 264 Hope Chapel Road</t>
        </is>
      </c>
      <c r="O2" s="2" t="inlineStr">
        <is>
          <t>YES</t>
        </is>
      </c>
      <c r="P2" s="2" t="inlineStr">
        <is>
          <t>https://upload.wikimedia.org/wikipedia/commons/1/1c/Hindenburg_disaster.jpg</t>
        </is>
      </c>
      <c r="Q2" s="2" t="inlineStr">
        <is>
          <t>Wikimedia Commons / Public Domain (US Navy)</t>
        </is>
      </c>
      <c r="R2" s="2" t="inlineStr">
        <is>
          <t>National Historic Landmark since 1961; Navy Lakehurst Historical Society runs tours; also visit Heritage Center artifacts</t>
        </is>
      </c>
    </row>
    <row r="3" ht="72" customHeight="1">
      <c r="A3" s="2" t="inlineStr">
        <is>
          <t>Cathedral of the Air (Chapel of the Air)</t>
        </is>
      </c>
      <c r="B3" s="2" t="inlineStr">
        <is>
          <t>264 Hope Chapel Road</t>
        </is>
      </c>
      <c r="C3" s="2" t="inlineStr">
        <is>
          <t>Lakehurst</t>
        </is>
      </c>
      <c r="D3" s="2" t="inlineStr">
        <is>
          <t>NJ</t>
        </is>
      </c>
      <c r="E3" s="2" t="inlineStr">
        <is>
          <t>Ocean</t>
        </is>
      </c>
      <c r="F3" s="2" t="n">
        <v>40.022</v>
      </c>
      <c r="G3" s="2" t="n">
        <v>-74.3262</v>
      </c>
      <c r="H3" s="2" t="inlineStr">
        <is>
          <t>sanctuary</t>
        </is>
      </c>
      <c r="I3" s="2" t="inlineStr">
        <is>
          <t>chapel, military memorial, stained glass, American Legion, veterans</t>
        </is>
      </c>
      <c r="J3" s="2" t="inlineStr">
        <is>
          <t>Built by the American Legion in the 1930s just outside the gate of the Naval Air Station, this small chapel features stained glass windows memorializing New Jersey veterans and serves as the quiet gathering point for all Hindenburg tours. Visitors who pass through describe a quality of devotional stillness — the chapel is modest in scale but precise in feeling, a threshold between the ordinary world outside and whatever awaits on the airfield. The space can be visited without base access.</t>
        </is>
      </c>
      <c r="K3" s="2" t="inlineStr">
        <is>
          <t>researched</t>
        </is>
      </c>
      <c r="L3" s="2" t="inlineStr">
        <is>
          <t>Christian, military/veterans</t>
        </is>
      </c>
      <c r="M3" s="2" t="inlineStr">
        <is>
          <t>Military memorial space; respectful attire appropriate</t>
        </is>
      </c>
      <c r="N3" s="2" t="inlineStr">
        <is>
          <t>Accessible to public without base access; serves as tour staging point</t>
        </is>
      </c>
      <c r="O3" s="2" t="inlineStr">
        <is>
          <t>YES</t>
        </is>
      </c>
      <c r="P3" s="2" t="inlineStr"/>
      <c r="Q3" s="2" t="inlineStr"/>
      <c r="R3" s="2" t="inlineStr">
        <is>
          <t>Coordinates are approximate; start of all Hindenburg tour groups</t>
        </is>
      </c>
    </row>
    <row r="4" ht="72" customHeight="1">
      <c r="A4" s="2" t="inlineStr">
        <is>
          <t>America's Keswick Christian Retreat and Conference Center</t>
        </is>
      </c>
      <c r="B4" s="2" t="inlineStr">
        <is>
          <t>601 Route 530</t>
        </is>
      </c>
      <c r="C4" s="2" t="inlineStr">
        <is>
          <t>Whiting</t>
        </is>
      </c>
      <c r="D4" s="2" t="inlineStr">
        <is>
          <t>NJ</t>
        </is>
      </c>
      <c r="E4" s="2" t="inlineStr">
        <is>
          <t>Ocean</t>
        </is>
      </c>
      <c r="F4" s="2" t="n">
        <v>39.9643</v>
      </c>
      <c r="G4" s="2" t="n">
        <v>-74.31959999999999</v>
      </c>
      <c r="H4" s="2" t="inlineStr">
        <is>
          <t>sanctuary</t>
        </is>
      </c>
      <c r="I4" s="2" t="inlineStr">
        <is>
          <t>retreat center, Christian, Pine Barrens, conference center, spiritual renewal</t>
        </is>
      </c>
      <c r="J4" s="2" t="inlineStr">
        <is>
          <t>A sprawling Christian retreat and conference center set amid the pines of Ocean County, Keswick offers an environment that visitors describe as genuinely decompressive — the combination of wooded setting, structured silence, and program-free personal retreat time creates what many call an involuntary exhale. Programs run year-round and are open to individuals, couples, and groups across denominational backgrounds.</t>
        </is>
      </c>
      <c r="K4" s="2" t="inlineStr">
        <is>
          <t>researched</t>
        </is>
      </c>
      <c r="L4" s="2" t="inlineStr">
        <is>
          <t>Protestant, Christian (non-denominational)</t>
        </is>
      </c>
      <c r="M4" s="2" t="inlineStr">
        <is>
          <t>None known</t>
        </is>
      </c>
      <c r="N4" s="2" t="inlineStr">
        <is>
          <t>Open year-round; individual and group retreats available; contact for reservations</t>
        </is>
      </c>
      <c r="O4" s="2" t="inlineStr">
        <is>
          <t>YES</t>
        </is>
      </c>
      <c r="P4" s="2" t="inlineStr"/>
      <c r="Q4" s="2" t="inlineStr"/>
      <c r="R4" s="2" t="inlineStr">
        <is>
          <t>One of few overnight Christian retreat centers in Ocean County; serves as conference venue year-round</t>
        </is>
      </c>
    </row>
    <row r="5" ht="72" customHeight="1">
      <c r="A5" s="2" t="inlineStr">
        <is>
          <t>Murray Grove Retreat &amp; Conference Center</t>
        </is>
      </c>
      <c r="B5" s="2" t="inlineStr">
        <is>
          <t>94 Montague Ave</t>
        </is>
      </c>
      <c r="C5" s="2" t="inlineStr">
        <is>
          <t>Lanoka Harbor</t>
        </is>
      </c>
      <c r="D5" s="2" t="inlineStr">
        <is>
          <t>NJ</t>
        </is>
      </c>
      <c r="E5" s="2" t="inlineStr">
        <is>
          <t>Ocean</t>
        </is>
      </c>
      <c r="F5" s="2" t="n">
        <v>39.7916</v>
      </c>
      <c r="G5" s="2" t="n">
        <v>-74.3036</v>
      </c>
      <c r="H5" s="2" t="inlineStr">
        <is>
          <t>sanctuary</t>
        </is>
      </c>
      <c r="I5" s="2" t="inlineStr">
        <is>
          <t>retreat center, Unitarian Universalist, Zen, waterfront, Pine Barrens, meditation</t>
        </is>
      </c>
      <c r="J5" s="2" t="inlineStr">
        <is>
          <t>A historic estate at the edge of the Pine Barrens, Murray Grove is operated by Unitarian Universalists and serves as a retreat destination for groups across traditions, including regular Zen sesshin led by Cold Mountain Zen. Visitors consistently note the quality of light through the pines and the waterfront setting as contributing to a meditative environment that arrives before any programming begins. The grounds invite silence walks at any time of year.</t>
        </is>
      </c>
      <c r="K5" s="2" t="inlineStr">
        <is>
          <t>researched</t>
        </is>
      </c>
      <c r="L5" s="2" t="inlineStr">
        <is>
          <t>Unitarian Universalist; Zen (hosted)</t>
        </is>
      </c>
      <c r="M5" s="2" t="inlineStr">
        <is>
          <t>None known</t>
        </is>
      </c>
      <c r="N5" s="2" t="inlineStr">
        <is>
          <t>Contact for retreat and group reservations; open year-round</t>
        </is>
      </c>
      <c r="O5" s="2" t="inlineStr">
        <is>
          <t>YES</t>
        </is>
      </c>
      <c r="P5" s="2" t="inlineStr"/>
      <c r="Q5" s="2" t="inlineStr"/>
      <c r="R5" s="2" t="inlineStr">
        <is>
          <t>Hosts Cold Mountain Zen sesshin several times yearly; open to interfaith and secular groups</t>
        </is>
      </c>
    </row>
    <row r="6" ht="72" customHeight="1">
      <c r="A6" s="2" t="inlineStr">
        <is>
          <t>Surf City Hotel (Powhattan Wreck Site)</t>
        </is>
      </c>
      <c r="B6" s="2" t="inlineStr">
        <is>
          <t>813 Long Beach Blvd</t>
        </is>
      </c>
      <c r="C6" s="2" t="inlineStr">
        <is>
          <t>Surf City</t>
        </is>
      </c>
      <c r="D6" s="2" t="inlineStr">
        <is>
          <t>NJ</t>
        </is>
      </c>
      <c r="E6" s="2" t="inlineStr">
        <is>
          <t>Ocean</t>
        </is>
      </c>
      <c r="F6" s="2" t="n">
        <v>39.7285</v>
      </c>
      <c r="G6" s="2" t="n">
        <v>-74.1658</v>
      </c>
      <c r="H6" s="2" t="inlineStr">
        <is>
          <t>theophany</t>
        </is>
      </c>
      <c r="I6" s="2" t="inlineStr">
        <is>
          <t>haunted hotel, shipwreck history, ghost lore, Long Beach Island, shore</t>
        </is>
      </c>
      <c r="J6" s="2" t="inlineStr">
        <is>
          <t>In 1854, the ship Powhattan foundered offshore and 50 victims were buried by local innkeeper Edward Jennings, who stripped the bodies of valuables before interment — a scandal that followed him the rest of his life. The hotel now on this site has long been reported as a site of unusual atmosphere, with visitors and locals describing a Union soldier missing an arm walking the beach at dusk, and four women linked arm-in-arm seen near the waterline. The owners have said they've searched for the ghosts themselves but haven't found them, which many visitors describe as its own kind of uncanny.</t>
        </is>
      </c>
      <c r="K6" s="2" t="inlineStr">
        <is>
          <t>researched</t>
        </is>
      </c>
      <c r="L6" s="2" t="inlineStr">
        <is>
          <t>None</t>
        </is>
      </c>
      <c r="M6" s="2" t="inlineStr">
        <is>
          <t>Historic burial ground nearby (Powhattan victims)</t>
        </is>
      </c>
      <c r="N6" s="2" t="inlineStr">
        <is>
          <t>Operating hotel; open to public and guests</t>
        </is>
      </c>
      <c r="O6" s="2" t="inlineStr">
        <is>
          <t>UNKNOWN</t>
        </is>
      </c>
      <c r="P6" s="2" t="inlineStr"/>
      <c r="Q6" s="2" t="inlineStr"/>
      <c r="R6" s="2" t="inlineStr">
        <is>
          <t>The Powhattan wreck occurred offshore; exact burial site is uncertain; check hotel for current hours and booking</t>
        </is>
      </c>
    </row>
    <row r="7" ht="72" customHeight="1">
      <c r="A7" s="2" t="inlineStr">
        <is>
          <t>Pine Barrens (Jersey Devil Territory)</t>
        </is>
      </c>
      <c r="B7" s="2" t="inlineStr">
        <is>
          <t>Waretown Road area (multiple access points throughout)</t>
        </is>
      </c>
      <c r="C7" s="2" t="inlineStr">
        <is>
          <t>Waretown</t>
        </is>
      </c>
      <c r="D7" s="2" t="inlineStr">
        <is>
          <t>NJ</t>
        </is>
      </c>
      <c r="E7" s="2" t="inlineStr">
        <is>
          <t>Ocean</t>
        </is>
      </c>
      <c r="F7" s="2" t="n">
        <v>39.7877</v>
      </c>
      <c r="G7" s="2" t="n">
        <v>-74.31480000000001</v>
      </c>
      <c r="H7" s="2" t="inlineStr">
        <is>
          <t>both</t>
        </is>
      </c>
      <c r="I7" s="2" t="inlineStr">
        <is>
          <t>cryptid, folklore, Jersey Devil, Pine Barrens, ancient forest, wilderness, local legend</t>
        </is>
      </c>
      <c r="J7" s="2" t="inlineStr">
        <is>
          <t>The vast, ecologically singular Pine Barrens of southern New Jersey have been the setting of the Jersey Devil legend since the 18th century, when a creature described as having bat wings, hooves, and a horse's head was said to have emerged from the Leeds family. Visitors to the Pine Barrens describe two distinct experiences that sometimes arrive together: an extraordinary stillness and non-human scale that feels ancient, and the persistent sensation in remote sections that something unseen is watching from just beyond the treeline.</t>
        </is>
      </c>
      <c r="K7" s="2" t="inlineStr">
        <is>
          <t>researched</t>
        </is>
      </c>
      <c r="L7" s="2" t="inlineStr">
        <is>
          <t>None</t>
        </is>
      </c>
      <c r="M7" s="2" t="inlineStr">
        <is>
          <t>Historically Lenape territory; active wildlife management area; respect fire regulations</t>
        </is>
      </c>
      <c r="N7" s="2" t="inlineStr">
        <is>
          <t>Multiple public access points throughout Ocean County; some areas managed by NJ Forest Fire Service; dawn to dusk for developed areas</t>
        </is>
      </c>
      <c r="O7" s="2" t="inlineStr">
        <is>
          <t>YES</t>
        </is>
      </c>
      <c r="P7" s="2" t="inlineStr"/>
      <c r="Q7" s="2" t="inlineStr"/>
      <c r="R7" s="2" t="inlineStr">
        <is>
          <t>Jersey Devil stories center on Leeds Point, Atlantic County; Pine Barrens in Ocean County are equally atmospheric; stay on marked trails</t>
        </is>
      </c>
    </row>
    <row r="8" ht="72" customHeight="1">
      <c r="A8" s="3" t="inlineStr">
        <is>
          <t>Clinton Road</t>
        </is>
      </c>
      <c r="B8" s="3" t="inlineStr">
        <is>
          <t>Clinton Road (begins at Route 23, Newfoundland)</t>
        </is>
      </c>
      <c r="C8" s="3" t="inlineStr">
        <is>
          <t>West Milford</t>
        </is>
      </c>
      <c r="D8" s="3" t="inlineStr">
        <is>
          <t>NJ</t>
        </is>
      </c>
      <c r="E8" s="3" t="inlineStr">
        <is>
          <t>Passaic</t>
        </is>
      </c>
      <c r="F8" s="3" t="n">
        <v>41.0513</v>
      </c>
      <c r="G8" s="3" t="n">
        <v>-74.2773</v>
      </c>
      <c r="H8" s="3" t="inlineStr">
        <is>
          <t>theophany</t>
        </is>
      </c>
      <c r="I8" s="3" t="inlineStr">
        <is>
          <t>haunted road, folklore, ghost lore, cryptid, paranormal investigation, local legend, bizarre named road</t>
        </is>
      </c>
      <c r="J8" s="3" t="inlineStr">
        <is>
          <t>Widely described as the most paranormally documented road in the United States, this 10-mile stretch of two-lane asphalt cuts through some of the most undeveloped forest in northern New Jersey — Newark watershed and state parkland — with almost no houses, businesses, or intersecting roads. Visitors report a consistent range of experiences: phantom headlights in the rearview mirror that vanish on curve, the sensation of being watched from the treeline, and at the 'Ghost Boy Bridge' at Dead Man's Curve, the claim — repeated across decades — that coins tossed into the brook are returned by a child who drowned there.</t>
        </is>
      </c>
      <c r="K8" s="3" t="inlineStr">
        <is>
          <t>researched</t>
        </is>
      </c>
      <c r="L8" s="3" t="inlineStr">
        <is>
          <t>None</t>
        </is>
      </c>
      <c r="M8" s="3" t="inlineStr">
        <is>
          <t>Active road; residents live at northern end; do not stop traffic or trespass in woods</t>
        </is>
      </c>
      <c r="N8" s="3" t="inlineStr">
        <is>
          <t>Public road; open at all times; Dead Man's Curve bridge accessible on foot; drive with care as road is narrow, dark, and winding</t>
        </is>
      </c>
      <c r="O8" s="3" t="inlineStr">
        <is>
          <t>UNKNOWN</t>
        </is>
      </c>
      <c r="P8" s="3" t="inlineStr">
        <is>
          <t>https://upload.wikimedia.org/wikipedia/commons/thumb/0/0d/Clinton_Road_NJ.jpg/640px-Clinton_Road_NJ.jpg</t>
        </is>
      </c>
      <c r="Q8" s="3" t="inlineStr">
        <is>
          <t>Wikimedia Commons</t>
        </is>
      </c>
      <c r="R8" s="3" t="inlineStr">
        <is>
          <t>Ranked #1 most haunted road in the US (Sixt, 2024); film 'Clinton Road' (2019) starred Ice-T; Clinton Furnace ruins (fenced) also along road; former Jungle Habitat zoo grounds in adjacent woods</t>
        </is>
      </c>
    </row>
    <row r="9" ht="72" customHeight="1">
      <c r="A9" s="3" t="inlineStr">
        <is>
          <t>Clinton Furnace ("Druid Temple" Ruins)</t>
        </is>
      </c>
      <c r="B9" s="3" t="inlineStr">
        <is>
          <t>Clinton Road (off-road, south section)</t>
        </is>
      </c>
      <c r="C9" s="3" t="inlineStr">
        <is>
          <t>West Milford</t>
        </is>
      </c>
      <c r="D9" s="3" t="inlineStr">
        <is>
          <t>NJ</t>
        </is>
      </c>
      <c r="E9" s="3" t="inlineStr">
        <is>
          <t>Passaic</t>
        </is>
      </c>
      <c r="F9" s="3" t="n">
        <v>41.1132</v>
      </c>
      <c r="G9" s="3" t="n">
        <v>-74.2984</v>
      </c>
      <c r="H9" s="3" t="inlineStr">
        <is>
          <t>theophany</t>
        </is>
      </c>
      <c r="I9" s="3" t="inlineStr">
        <is>
          <t>ruins, historical site, folklore, iron smelter, paranormal</t>
        </is>
      </c>
      <c r="J9" s="3" t="inlineStr">
        <is>
          <t>The fenced stone ruins of an 18th-century iron smelter along Clinton Road have accumulated decades of legend under the name 'Druid Temple,' inspired by their ancient, ceremonial-looking arrangement. The site is now enclosed by a chain-link fence for safety, but the ruins are visible from the roadside — and visitors report that the atmosphere around the stones carries a distinctly unsettled quality, a sense of wrongness or displacement that they struggle to attribute entirely to suggestion.</t>
        </is>
      </c>
      <c r="K9" s="3" t="inlineStr">
        <is>
          <t>researched</t>
        </is>
      </c>
      <c r="L9" s="3" t="inlineStr">
        <is>
          <t>None</t>
        </is>
      </c>
      <c r="M9" s="3" t="inlineStr">
        <is>
          <t>Fenced; do not enter enclosure</t>
        </is>
      </c>
      <c r="N9" s="3" t="inlineStr">
        <is>
          <t>Visible from road; do not enter fenced area; on or adjacent to public Clinton Road</t>
        </is>
      </c>
      <c r="O9" s="3" t="inlineStr">
        <is>
          <t>UNKNOWN</t>
        </is>
      </c>
      <c r="P9" s="3" t="inlineStr"/>
      <c r="Q9" s="3" t="inlineStr"/>
      <c r="R9" s="3" t="inlineStr">
        <is>
          <t>Locally known as 'Druid Temple'; historically an iron smelting operation; Weird NJ has documented accounts of gatherings here</t>
        </is>
      </c>
    </row>
    <row r="10" ht="72" customHeight="1">
      <c r="A10" s="3" t="inlineStr">
        <is>
          <t>Annie's Road (Riverview Drive)</t>
        </is>
      </c>
      <c r="B10" s="3" t="inlineStr">
        <is>
          <t>Riverview Drive</t>
        </is>
      </c>
      <c r="C10" s="3" t="inlineStr">
        <is>
          <t>Totowa</t>
        </is>
      </c>
      <c r="D10" s="3" t="inlineStr">
        <is>
          <t>NJ</t>
        </is>
      </c>
      <c r="E10" s="3" t="inlineStr">
        <is>
          <t>Passaic</t>
        </is>
      </c>
      <c r="F10" s="3" t="n">
        <v>40.9059</v>
      </c>
      <c r="G10" s="3" t="n">
        <v>-74.2196</v>
      </c>
      <c r="H10" s="3" t="inlineStr">
        <is>
          <t>theophany</t>
        </is>
      </c>
      <c r="I10" s="3" t="inlineStr">
        <is>
          <t>haunted road, ghost lore, local legend, prom night tragedy</t>
        </is>
      </c>
      <c r="J10" s="3" t="inlineStr">
        <is>
          <t>Riverview Drive in Totowa has been known locally as 'Annie's Road' since at least the 1960s, when a story emerged of a young woman killed by a truck on prom night whose ghost still lingers near the spot. Visitors report unexplained fog that appears and disappears, interference in cell phone signals, and the sound of distant screaming with no identifiable source. The legend has several variant versions, but the atmosphere of the road — particularly after dark — is consistently described as charged in a way that precedes knowing any of the stories.</t>
        </is>
      </c>
      <c r="K10" s="3" t="inlineStr">
        <is>
          <t>researched</t>
        </is>
      </c>
      <c r="L10" s="3" t="inlineStr">
        <is>
          <t>None</t>
        </is>
      </c>
      <c r="M10" s="3" t="inlineStr">
        <is>
          <t>None known</t>
        </is>
      </c>
      <c r="N10" s="3" t="inlineStr">
        <is>
          <t>Public road; residential area; visit respectfully</t>
        </is>
      </c>
      <c r="O10" s="3" t="inlineStr">
        <is>
          <t>UNKNOWN</t>
        </is>
      </c>
      <c r="P10" s="3" t="inlineStr"/>
      <c r="Q10" s="3" t="inlineStr"/>
      <c r="R10" s="3" t="inlineStr">
        <is>
          <t>Featured in NJ paranormal listings; multiple legend variants exist; road runs along Passaic River</t>
        </is>
      </c>
    </row>
    <row r="11" ht="72" customHeight="1">
      <c r="A11" s="3" t="inlineStr">
        <is>
          <t>Great Falls of the Passaic River</t>
        </is>
      </c>
      <c r="B11" s="3" t="inlineStr">
        <is>
          <t>McBride Ave &amp; Spruce St (Great Falls National Historical Park)</t>
        </is>
      </c>
      <c r="C11" s="3" t="inlineStr">
        <is>
          <t>Paterson</t>
        </is>
      </c>
      <c r="D11" s="3" t="inlineStr">
        <is>
          <t>NJ</t>
        </is>
      </c>
      <c r="E11" s="3" t="inlineStr">
        <is>
          <t>Passaic</t>
        </is>
      </c>
      <c r="F11" s="3" t="n">
        <v>40.9165</v>
      </c>
      <c r="G11" s="3" t="n">
        <v>-74.1712</v>
      </c>
      <c r="H11" s="3" t="inlineStr">
        <is>
          <t>both</t>
        </is>
      </c>
      <c r="I11" s="3" t="inlineStr">
        <is>
          <t>waterfall, national park, industrial history, natural wonder, contemplative</t>
        </is>
      </c>
      <c r="J11" s="3" t="inlineStr">
        <is>
          <t>The Great Falls of the Passaic River — a 77-foot waterfall in the heart of Paterson — is a site where sheer geological force creates an involuntary pause in visitors. The roar of the falls is total, creating a zone of white noise that many people describe as surprisingly quieting rather than overwhelming; conversation becomes impossible and attention narrows to the falling water. The falls also carry a layered history of Lenape ceremonial use, Alexander Hamilton's industrial vision, and a century of industrial labor.</t>
        </is>
      </c>
      <c r="K11" s="3" t="inlineStr">
        <is>
          <t>researched</t>
        </is>
      </c>
      <c r="L11" s="3" t="inlineStr">
        <is>
          <t>None</t>
        </is>
      </c>
      <c r="M11" s="3" t="inlineStr">
        <is>
          <t>Historically a Lenape ceremonial and spiritual site</t>
        </is>
      </c>
      <c r="N11" s="3" t="inlineStr">
        <is>
          <t>National Historical Park; open dawn to dusk; free; viewing platforms on both sides of the gorge</t>
        </is>
      </c>
      <c r="O11" s="3" t="inlineStr">
        <is>
          <t>YES</t>
        </is>
      </c>
      <c r="P11" s="3" t="inlineStr">
        <is>
          <t>https://upload.wikimedia.org/wikipedia/commons/thumb/6/6c/Great_Falls_Paterson_NJ.jpg/640px-Great_Falls_Paterson_NJ.jpg</t>
        </is>
      </c>
      <c r="Q11" s="3" t="inlineStr">
        <is>
          <t>Wikimedia Commons / Public Domain</t>
        </is>
      </c>
      <c r="R11" s="3" t="inlineStr">
        <is>
          <t>National Historical Park; parking available on McBride Ave; Lenape name for falls area is 'Totowa'; Alexander Hamilton Industrial Precinct visible from overlook</t>
        </is>
      </c>
    </row>
    <row r="12" ht="72" customHeight="1">
      <c r="A12" s="3" t="inlineStr">
        <is>
          <t>Ringwood Manor State Park</t>
        </is>
      </c>
      <c r="B12" s="3" t="inlineStr">
        <is>
          <t>1304 Sloatsburg Road</t>
        </is>
      </c>
      <c r="C12" s="3" t="inlineStr">
        <is>
          <t>Ringwood</t>
        </is>
      </c>
      <c r="D12" s="3" t="inlineStr">
        <is>
          <t>NJ</t>
        </is>
      </c>
      <c r="E12" s="3" t="inlineStr">
        <is>
          <t>Passaic</t>
        </is>
      </c>
      <c r="F12" s="3" t="n">
        <v>41.1148</v>
      </c>
      <c r="G12" s="3" t="n">
        <v>-74.244</v>
      </c>
      <c r="H12" s="3" t="inlineStr">
        <is>
          <t>both</t>
        </is>
      </c>
      <c r="I12" s="3" t="inlineStr">
        <is>
          <t>haunted manor, historic estate, ghost lore, state park, nature</t>
        </is>
      </c>
      <c r="J12" s="3" t="inlineStr">
        <is>
          <t>The 51-room Ringwood Manor has been the focal point of iron-making history in New Jersey since the colonial era, serving as home to several prominent families and reportedly never quite letting go of them. Visitors to the manor describe a sense of eyes on them in the upper rooms, and the surrounding 4,000-acre state park — deeply wooded, quiet, and largely unmarked by modernity — creates an atmosphere many describe as both restorative and uncanny. Historical records note that ironworkers from the 18th and 19th centuries are buried in unmarked graves throughout the property.</t>
        </is>
      </c>
      <c r="K12" s="3" t="inlineStr">
        <is>
          <t>researched</t>
        </is>
      </c>
      <c r="L12" s="3" t="inlineStr">
        <is>
          <t>None</t>
        </is>
      </c>
      <c r="M12" s="3" t="inlineStr">
        <is>
          <t>Unmarked graves on property; active historic site; Ramapough Lenape Nation has historical ties to this region</t>
        </is>
      </c>
      <c r="N12" s="3" t="inlineStr">
        <is>
          <t>State Park; house tours on weekends (fee); grounds open dawn to dusk; check njparksandforests.org for hours</t>
        </is>
      </c>
      <c r="O12" s="3" t="inlineStr">
        <is>
          <t>YES</t>
        </is>
      </c>
      <c r="P12" s="3" t="inlineStr"/>
      <c r="Q12" s="3" t="inlineStr"/>
      <c r="R12" s="3" t="inlineStr">
        <is>
          <t>Ramapough Lenape Nation (also called Ramapough Mountain Indians) has documented historical and cultural ties to the Ringwood area; flag for Ethics review</t>
        </is>
      </c>
    </row>
    <row r="13" ht="72" customHeight="1">
      <c r="A13" s="4" t="inlineStr">
        <is>
          <t>Hancock House</t>
        </is>
      </c>
      <c r="B13" s="4" t="inlineStr">
        <is>
          <t>3 Front Street</t>
        </is>
      </c>
      <c r="C13" s="4" t="inlineStr">
        <is>
          <t>Hancock's Bridge</t>
        </is>
      </c>
      <c r="D13" s="4" t="inlineStr">
        <is>
          <t>NJ</t>
        </is>
      </c>
      <c r="E13" s="4" t="inlineStr">
        <is>
          <t>Salem</t>
        </is>
      </c>
      <c r="F13" s="4" t="n">
        <v>39.4986</v>
      </c>
      <c r="G13" s="4" t="n">
        <v>-75.4558</v>
      </c>
      <c r="H13" s="4" t="inlineStr">
        <is>
          <t>both</t>
        </is>
      </c>
      <c r="I13" s="4" t="inlineStr">
        <is>
          <t>haunted historic house, battlefield massacre, colonial era, Revolutionary War, ghost lore, historical landmark</t>
        </is>
      </c>
      <c r="J13" s="4" t="inlineStr">
        <is>
          <t>Built in 1734, Hancock House became the site of one of the American Revolution's most notorious moments on the night of March 21, 1778, when British troops bayoneted 30 sleeping American militiamen in what was considered a war crime even by contemporary standards. Salem County residents report seeing the apparitions of colonial soldiers walking the property's perimeter, and the Asbury Park Press documented accounts of screaming heard on the grounds at night. WPG Talk Radio named Hancock House the most haunted building in New Jersey. Now a National Register site, the house carries what visitors describe as a tangible atmospheric weight that arrives before any context is given.</t>
        </is>
      </c>
      <c r="K13" s="4" t="inlineStr">
        <is>
          <t>researched</t>
        </is>
      </c>
      <c r="L13" s="4" t="inlineStr">
        <is>
          <t>None</t>
        </is>
      </c>
      <c r="M13" s="4" t="inlineStr">
        <is>
          <t>Massacre memorial; active historic site; Revolutionary War burial ground on property</t>
        </is>
      </c>
      <c r="N13" s="4" t="inlineStr">
        <is>
          <t>Open for tours by appointment; contact New Jersey State Park Service; exterior visible from road at all times</t>
        </is>
      </c>
      <c r="O13" s="4" t="inlineStr">
        <is>
          <t>YES</t>
        </is>
      </c>
      <c r="P13" s="4" t="inlineStr">
        <is>
          <t>https://upload.wikimedia.org/wikipedia/commons/thumb/7/72/Hancock_House_NJ.jpg/640px-Hancock_House_NJ.jpg</t>
        </is>
      </c>
      <c r="Q13" s="4" t="inlineStr">
        <is>
          <t>Wikimedia Commons / Zeete, CC BY-SA 4.0</t>
        </is>
      </c>
      <c r="R13" s="4" t="inlineStr">
        <is>
          <t>National Register of Historic Places; managed by NJ State Park Service; site of documented Revolutionary War massacre</t>
        </is>
      </c>
    </row>
    <row r="14" ht="72" customHeight="1">
      <c r="A14" s="4" t="inlineStr">
        <is>
          <t>Alloways Creek Friends Meetinghouse</t>
        </is>
      </c>
      <c r="B14" s="4" t="inlineStr">
        <is>
          <t>Buttonwood Ave (150 ft west of Main St)</t>
        </is>
      </c>
      <c r="C14" s="4" t="inlineStr">
        <is>
          <t>Hancock's Bridge</t>
        </is>
      </c>
      <c r="D14" s="4" t="inlineStr">
        <is>
          <t>NJ</t>
        </is>
      </c>
      <c r="E14" s="4" t="inlineStr">
        <is>
          <t>Salem</t>
        </is>
      </c>
      <c r="F14" s="4" t="n">
        <v>39.5028</v>
      </c>
      <c r="G14" s="4" t="n">
        <v>-75.4556</v>
      </c>
      <c r="H14" s="4" t="inlineStr">
        <is>
          <t>sanctuary</t>
        </is>
      </c>
      <c r="I14" s="4" t="inlineStr">
        <is>
          <t>Quaker meetinghouse, historic religious site, colonial architecture, silent worship, contemplative</t>
        </is>
      </c>
      <c r="J14" s="4" t="inlineStr">
        <is>
          <t>Built in 1756 on land donated by William Hancock, this Flemish-bond brick meetinghouse has served Quaker worshippers for nearly 270 years. Visitors often remark on the profound interior simplicity — unornamented wood, plain light, and a room designed to hold stillness rather than spectacle. The space's silence feels active rather than empty, as though the generations of unprogrammed worship it has witnessed have accumulated in the walls. Added to the National Register of Historic Places in 2003.</t>
        </is>
      </c>
      <c r="K14" s="4" t="inlineStr">
        <is>
          <t>researched</t>
        </is>
      </c>
      <c r="L14" s="4" t="inlineStr">
        <is>
          <t>Quaker (Religious Society of Friends)</t>
        </is>
      </c>
      <c r="M14" s="4" t="inlineStr">
        <is>
          <t>Active worship site; burial ground on premises</t>
        </is>
      </c>
      <c r="N14" s="4" t="inlineStr">
        <is>
          <t>Visitorship by arrangement; grounds open to respectful visitors; Sunday meeting open to all</t>
        </is>
      </c>
      <c r="O14" s="4" t="inlineStr">
        <is>
          <t>YES</t>
        </is>
      </c>
      <c r="P14" s="4" t="inlineStr"/>
      <c r="Q14" s="4" t="inlineStr"/>
      <c r="R14" s="4" t="inlineStr">
        <is>
          <t>Third meetinghouse on this land (first built 1685); first Friends meeting in this area dates to 1685; 1778 British encampment nearby</t>
        </is>
      </c>
    </row>
    <row r="15" ht="72" customHeight="1">
      <c r="A15" s="4" t="inlineStr">
        <is>
          <t>Salem Friends Meeting House</t>
        </is>
      </c>
      <c r="B15" s="4" t="inlineStr">
        <is>
          <t>79 West Broadway</t>
        </is>
      </c>
      <c r="C15" s="4" t="inlineStr">
        <is>
          <t>Salem</t>
        </is>
      </c>
      <c r="D15" s="4" t="inlineStr">
        <is>
          <t>NJ</t>
        </is>
      </c>
      <c r="E15" s="4" t="inlineStr">
        <is>
          <t>Salem</t>
        </is>
      </c>
      <c r="F15" s="4" t="n">
        <v>39.5787</v>
      </c>
      <c r="G15" s="4" t="n">
        <v>-75.4674</v>
      </c>
      <c r="H15" s="4" t="inlineStr">
        <is>
          <t>sanctuary</t>
        </is>
      </c>
      <c r="I15" s="4" t="inlineStr">
        <is>
          <t>Quaker meetinghouse, oldest congregation Salem County, colonial architecture, silent worship, contemplative</t>
        </is>
      </c>
      <c r="J15" s="4" t="inlineStr">
        <is>
          <t>Founded in 1676, this congregation is the oldest religious organization in Salem County, and the 1772 meetinghouse that stands here is the oldest house of worship in the city. Its exterior has changed almost nothing since construction, and the interior embodies the Quaker principle of expectant silence — many visitors describe the experience of sitting inside as a sudden involuntary stillness, as though the room itself is listening. During the Revolution, British troops encamped here, lending the space a doubled history of both occupation and sanctuary.</t>
        </is>
      </c>
      <c r="K15" s="4" t="inlineStr">
        <is>
          <t>researched</t>
        </is>
      </c>
      <c r="L15" s="4" t="inlineStr">
        <is>
          <t>Quaker (Religious Society of Friends)</t>
        </is>
      </c>
      <c r="M15" s="4" t="inlineStr">
        <is>
          <t>Active worship site; burial ground adjacent</t>
        </is>
      </c>
      <c r="N15" s="4" t="inlineStr">
        <is>
          <t>Meeting for Worship held First Day (Sunday) mornings; grounds open; all are welcome</t>
        </is>
      </c>
      <c r="O15" s="4" t="inlineStr">
        <is>
          <t>YES</t>
        </is>
      </c>
      <c r="P15" s="4" t="inlineStr"/>
      <c r="Q15" s="4" t="inlineStr"/>
      <c r="R15" s="4" t="inlineStr">
        <is>
          <t>Congregation founded 1676; current building 1772; on Crossroads of the American Revolution National Heritage Area</t>
        </is>
      </c>
    </row>
    <row r="16" ht="72" customHeight="1">
      <c r="A16" s="4" t="inlineStr">
        <is>
          <t>The Old Salem Oak</t>
        </is>
      </c>
      <c r="B16" s="4" t="inlineStr">
        <is>
          <t>Walnut Street (Salem Friends Burial Ground)</t>
        </is>
      </c>
      <c r="C16" s="4" t="inlineStr">
        <is>
          <t>Salem</t>
        </is>
      </c>
      <c r="D16" s="4" t="inlineStr">
        <is>
          <t>NJ</t>
        </is>
      </c>
      <c r="E16" s="4" t="inlineStr">
        <is>
          <t>Salem</t>
        </is>
      </c>
      <c r="F16" s="4" t="n">
        <v>39.5772</v>
      </c>
      <c r="G16" s="4" t="n">
        <v>-75.46729999999999</v>
      </c>
      <c r="H16" s="4" t="inlineStr">
        <is>
          <t>both</t>
        </is>
      </c>
      <c r="I16" s="4" t="inlineStr">
        <is>
          <t>ancient tree, Lenape history, Quaker history, landmark, natural wonder, colonial treaty site</t>
        </is>
      </c>
      <c r="J16" s="4" t="inlineStr">
        <is>
          <t>One of the oldest white oaks in North America, the Salem Oak stood for an estimated 500–600 years on the grounds of the Friends burial ground and served as the site of a famous treaty between English settler John Fenwick and Lenape leaders in the 1670s. (The tree fell in 2019 but saplings grown from its acorns have been planted nearby.) Visitors who came to sit beneath the tree's canopy in its final years describe an experience of temporal vertigo — the sense that the distance between centuries was negligible here — and the site remains a place of quiet significance.</t>
        </is>
      </c>
      <c r="K16" s="4" t="inlineStr">
        <is>
          <t>researched</t>
        </is>
      </c>
      <c r="L16" s="4" t="inlineStr">
        <is>
          <t>Quaker, Lenape</t>
        </is>
      </c>
      <c r="M16" s="4" t="inlineStr">
        <is>
          <t>Lenape treaty site; Lenape historical and cultural significance; burial ground</t>
        </is>
      </c>
      <c r="N16" s="4" t="inlineStr">
        <is>
          <t>Adjacent to Salem Friends Burial Ground on Walnut Street; open to respectful visitors during daylight hours; tree fell in 2019, memorial plantings in place</t>
        </is>
      </c>
      <c r="O16" s="4" t="inlineStr">
        <is>
          <t>YES</t>
        </is>
      </c>
      <c r="P16" s="4" t="inlineStr"/>
      <c r="Q16" s="4" t="inlineStr"/>
      <c r="R16" s="4" t="inlineStr">
        <is>
          <t>Tree fell February 2019 during a storm; saplings grown from acorns have been replanted on site; treaty between John Fenwick and Lenape leaders (1675) reportedly held here; flag for Indigenous review</t>
        </is>
      </c>
    </row>
    <row r="17" ht="72" customHeight="1">
      <c r="A17" s="4" t="inlineStr">
        <is>
          <t>Finn's Point National Cemetery</t>
        </is>
      </c>
      <c r="B17" s="4" t="inlineStr">
        <is>
          <t>Fort Mott Road</t>
        </is>
      </c>
      <c r="C17" s="4" t="inlineStr">
        <is>
          <t>Pennsville</t>
        </is>
      </c>
      <c r="D17" s="4" t="inlineStr">
        <is>
          <t>NJ</t>
        </is>
      </c>
      <c r="E17" s="4" t="inlineStr">
        <is>
          <t>Salem</t>
        </is>
      </c>
      <c r="F17" s="4" t="n">
        <v>39.5793</v>
      </c>
      <c r="G17" s="4" t="n">
        <v>-75.5294</v>
      </c>
      <c r="H17" s="4" t="inlineStr">
        <is>
          <t>sanctuary</t>
        </is>
      </c>
      <c r="I17" s="4" t="inlineStr">
        <is>
          <t>national cemetery, Civil War, Confederate graves, memorial, peaceful grounds</t>
        </is>
      </c>
      <c r="J17" s="4" t="inlineStr">
        <is>
          <t>A small, immaculately maintained national cemetery containing the graves of over 2,400 Confederate soldiers who died at Fort Delaware as prisoners of war during the Civil War, along with Union soldiers and Veterans of other wars. Visitors describe the grounds as carrying an unusual quality of peacefulness — the scale is intimate, the location along the Delaware River is scenic, and the complete quietness of the place seems calibrated to contemplation. Many describe a particular sadness that differs from ordinary grief: the sadness of people far from home.</t>
        </is>
      </c>
      <c r="K17" s="4" t="inlineStr">
        <is>
          <t>researched</t>
        </is>
      </c>
      <c r="L17" s="4" t="inlineStr">
        <is>
          <t>None</t>
        </is>
      </c>
      <c r="M17" s="4" t="inlineStr">
        <is>
          <t>Active national cemetery; respectful conduct required</t>
        </is>
      </c>
      <c r="N17" s="4" t="inlineStr">
        <is>
          <t>Open daily dawn to dusk; free; adjacent to Fort Mott State Park; maintained by National Cemetery Administration</t>
        </is>
      </c>
      <c r="O17" s="4" t="inlineStr">
        <is>
          <t>YES</t>
        </is>
      </c>
      <c r="P17" s="4" t="inlineStr"/>
      <c r="Q17" s="4" t="inlineStr"/>
      <c r="R17" s="4" t="inlineStr">
        <is>
          <t>Contains remains of 2,436 Confederate POWs; obelisk monument; access via Fort Mott Road, Pennsville</t>
        </is>
      </c>
    </row>
    <row r="18" ht="72" customHeight="1">
      <c r="A18" s="4" t="inlineStr">
        <is>
          <t>Fort Mott State Park</t>
        </is>
      </c>
      <c r="B18" s="4" t="inlineStr">
        <is>
          <t>454 Fort Mott Rd</t>
        </is>
      </c>
      <c r="C18" s="4" t="inlineStr">
        <is>
          <t>Pennsville</t>
        </is>
      </c>
      <c r="D18" s="4" t="inlineStr">
        <is>
          <t>NJ</t>
        </is>
      </c>
      <c r="E18" s="4" t="inlineStr">
        <is>
          <t>Salem</t>
        </is>
      </c>
      <c r="F18" s="4" t="n">
        <v>39.5604</v>
      </c>
      <c r="G18" s="4" t="n">
        <v>-75.5273</v>
      </c>
      <c r="H18" s="4" t="inlineStr">
        <is>
          <t>both</t>
        </is>
      </c>
      <c r="I18" s="4" t="inlineStr">
        <is>
          <t>Civil War fort, ghost lore, nature, scenic overlook, Delaware River, state park</t>
        </is>
      </c>
      <c r="J18" s="4" t="inlineStr">
        <is>
          <t>Built in the 1870s as a coastal defense fortification along the Delaware River, Fort Mott's earthworks and gun batteries are largely intact and open for exploration. Visitors walk through the darkened concrete battery emplacements and describe an atmosphere of compressed time — the spaces are designed to hold people under stress, and the walls seem to carry that memory. The site is also noted for remarkable sunset views across the Delaware, and the adjacent wildlife refuge and wetlands attract visitors seeking a more meditative encounter with the landscape.</t>
        </is>
      </c>
      <c r="K18" s="4" t="inlineStr">
        <is>
          <t>researched</t>
        </is>
      </c>
      <c r="L18" s="4" t="inlineStr">
        <is>
          <t>None</t>
        </is>
      </c>
      <c r="M18" s="4" t="inlineStr">
        <is>
          <t>Historic military site; burial ground (Finn's Point) adjacent</t>
        </is>
      </c>
      <c r="N18" s="4" t="inlineStr">
        <is>
          <t>State Park; open dawn to dusk; free; walking distance to Finn's Point National Cemetery</t>
        </is>
      </c>
      <c r="O18" s="4" t="inlineStr">
        <is>
          <t>YES</t>
        </is>
      </c>
      <c r="P18" s="4" t="inlineStr"/>
      <c r="Q18" s="4" t="inlineStr"/>
      <c r="R18" s="4" t="inlineStr">
        <is>
          <t>Adjacent to Finn's Point National Cemetery and Supawna Meadows National Wildlife Refuge; Lenape people inhabited this Delaware River corridor for thousands of years</t>
        </is>
      </c>
    </row>
    <row r="19" ht="72" customHeight="1">
      <c r="A19" s="5" t="inlineStr">
        <is>
          <t>The Devil's Tree</t>
        </is>
      </c>
      <c r="B19" s="5" t="inlineStr">
        <is>
          <t>Mountain Road (near #181)</t>
        </is>
      </c>
      <c r="C19" s="5" t="inlineStr">
        <is>
          <t>Martinsville</t>
        </is>
      </c>
      <c r="D19" s="5" t="inlineStr">
        <is>
          <t>NJ</t>
        </is>
      </c>
      <c r="E19" s="5" t="inlineStr">
        <is>
          <t>Somerset</t>
        </is>
      </c>
      <c r="F19" s="5" t="n">
        <v>40.63</v>
      </c>
      <c r="G19" s="5" t="n">
        <v>-74.5831</v>
      </c>
      <c r="H19" s="5" t="inlineStr">
        <is>
          <t>theophany</t>
        </is>
      </c>
      <c r="I19" s="5" t="inlineStr">
        <is>
          <t>haunted tree, folklore, KKK history, cursed site, landmark, local legend</t>
        </is>
      </c>
      <c r="J19" s="5" t="inlineStr">
        <is>
          <t>A solitary oak in an open field on Mountain Road in Bernards Township, the Devil's Tree is Somerset County's most enduring paranormal landmark. Visitors report that the tree remains unnaturally warm to the touch in winter and that snow does not settle within several feet of its base — phenomena that are consistently noted across independent accounts spanning decades. Stories of a phantom black truck pursuing cars that linger are told so uniformly, and with such specific detail, that locals debate whether they believe the ghost or the truck driver.</t>
        </is>
      </c>
      <c r="K19" s="5" t="inlineStr">
        <is>
          <t>researched</t>
        </is>
      </c>
      <c r="L19" s="5" t="inlineStr">
        <is>
          <t>None</t>
        </is>
      </c>
      <c r="M19" s="5" t="inlineStr">
        <is>
          <t>Site of documented KKK activity and rally history in the 1920s; possible lynching site per local oral history (unconfirmed)</t>
        </is>
      </c>
      <c r="N19" s="5" t="inlineStr">
        <is>
          <t>Bernards Township has designated the area a public park with regulated access; protective chain-link fence around trunk; hours enforced; contact Bernards Township Police for current access</t>
        </is>
      </c>
      <c r="O19" s="5" t="inlineStr">
        <is>
          <t>YES</t>
        </is>
      </c>
      <c r="P19" s="5" t="inlineStr"/>
      <c r="Q19" s="5" t="inlineStr"/>
      <c r="R19" s="5" t="inlineStr">
        <is>
          <t>Named most haunted place in NJ by Thrillist; located off Mountain Road (Rte 525) in Martinsville section of Bernards Township; tree is protected and fenced; Atlas Obscura entry confirmed</t>
        </is>
      </c>
    </row>
    <row r="20" ht="72" customHeight="1">
      <c r="A20" s="5" t="inlineStr">
        <is>
          <t>Wallace House and Old Dutch Parsonage</t>
        </is>
      </c>
      <c r="B20" s="5" t="inlineStr">
        <is>
          <t>38 Washington Place</t>
        </is>
      </c>
      <c r="C20" s="5" t="inlineStr">
        <is>
          <t>Somerville</t>
        </is>
      </c>
      <c r="D20" s="5" t="inlineStr">
        <is>
          <t>NJ</t>
        </is>
      </c>
      <c r="E20" s="5" t="inlineStr">
        <is>
          <t>Somerset</t>
        </is>
      </c>
      <c r="F20" s="5" t="n">
        <v>40.5668</v>
      </c>
      <c r="G20" s="5" t="n">
        <v>-74.5774</v>
      </c>
      <c r="H20" s="5" t="inlineStr">
        <is>
          <t>both</t>
        </is>
      </c>
      <c r="I20" s="5" t="inlineStr">
        <is>
          <t>haunted historic house, Revolutionary War, colonial architecture, ghost lore, friendly spirit, NJ State Historic Site</t>
        </is>
      </c>
      <c r="J20" s="5" t="inlineStr">
        <is>
          <t>These adjacent Colonial-era homes served as General George Washington's winter quarters in 1778–79, and both carry reported paranormal presence. The Wallace House is associated with a benign spirit — guides and visitors describe shoulder taps and a gentle tugging at clothing, as though someone is trying quietly to redirect attention. The Old Dutch Parsonage carries heavier sounds: banging, objects displaced overnight, and reports of screaming that has no locatable source. Both sites are remarkable in their architectural preservation, with the weight of revolutionary history tangible in the materials themselves.</t>
        </is>
      </c>
      <c r="K20" s="5" t="inlineStr">
        <is>
          <t>researched</t>
        </is>
      </c>
      <c r="L20" s="5" t="inlineStr">
        <is>
          <t>Presbyterian / Dutch Reformed</t>
        </is>
      </c>
      <c r="M20" s="5" t="inlineStr">
        <is>
          <t>Active NJ State Historic Site</t>
        </is>
      </c>
      <c r="N20" s="5" t="inlineStr">
        <is>
          <t>NJ State Historic Site; open Wednesday–Sunday; fee for house tours; grounds accessible during open hours; check nj.gov/dep/parksandforests</t>
        </is>
      </c>
      <c r="O20" s="5" t="inlineStr">
        <is>
          <t>YES</t>
        </is>
      </c>
      <c r="P20" s="5" t="inlineStr"/>
      <c r="Q20" s="5" t="inlineStr"/>
      <c r="R20" s="5" t="inlineStr">
        <is>
          <t>Both houses are NJ State Historic Sites; Wallace House built 1778; Old Dutch Parsonage built 1751 and moved to current location 1913; on National Register</t>
        </is>
      </c>
    </row>
    <row r="21" ht="72" customHeight="1">
      <c r="A21" s="5" t="inlineStr">
        <is>
          <t>Mount Saint Mary House of Prayer</t>
        </is>
      </c>
      <c r="B21" s="5" t="inlineStr">
        <is>
          <t>1651 US Route 22</t>
        </is>
      </c>
      <c r="C21" s="5" t="inlineStr">
        <is>
          <t>Watchung</t>
        </is>
      </c>
      <c r="D21" s="5" t="inlineStr">
        <is>
          <t>NJ</t>
        </is>
      </c>
      <c r="E21" s="5" t="inlineStr">
        <is>
          <t>Somerset</t>
        </is>
      </c>
      <c r="F21" s="5" t="n">
        <v>40.6329</v>
      </c>
      <c r="G21" s="5" t="n">
        <v>-74.38290000000001</v>
      </c>
      <c r="H21" s="5" t="inlineStr">
        <is>
          <t>sanctuary</t>
        </is>
      </c>
      <c r="I21" s="5" t="inlineStr">
        <is>
          <t>retreat center, Catholic, house of prayer, spiritual direction, Sisters of Mercy</t>
        </is>
      </c>
      <c r="J21" s="5" t="inlineStr">
        <is>
          <t>A peaceful retreat house run by the Sisters of Mercy on a wooded property in Watchung, offering individual and group retreats, spiritual direction sessions, and periods of unscheduled solitude. Visitors describe a quality of unhurried silence on the grounds — the sensation, as several retreatants have put it, of time moving at a different pace. The house draws seekers from across the tri-state area seeking pause rather than program, and is open to people of all traditions and none.</t>
        </is>
      </c>
      <c r="K21" s="5" t="inlineStr">
        <is>
          <t>researched</t>
        </is>
      </c>
      <c r="L21" s="5" t="inlineStr">
        <is>
          <t>Catholic</t>
        </is>
      </c>
      <c r="M21" s="5" t="inlineStr">
        <is>
          <t>None known</t>
        </is>
      </c>
      <c r="N21" s="5" t="inlineStr">
        <is>
          <t>Contact for retreat reservations; open year-round; individual and group retreats available</t>
        </is>
      </c>
      <c r="O21" s="5" t="inlineStr">
        <is>
          <t>YES</t>
        </is>
      </c>
      <c r="P21" s="5" t="inlineStr"/>
      <c r="Q21" s="5" t="inlineStr"/>
      <c r="R21" s="5" t="inlineStr">
        <is>
          <t>Operated by Sisters of Mercy; also listed in Archdiocese of Newark retreat center directory</t>
        </is>
      </c>
    </row>
    <row r="22" ht="72" customHeight="1">
      <c r="A22" s="5" t="inlineStr">
        <is>
          <t>Bernardsville Public Library (Parker Tavern / Phyllis Parker Ghost)</t>
        </is>
      </c>
      <c r="B22" s="5" t="inlineStr">
        <is>
          <t>2 Mine Brook Road</t>
        </is>
      </c>
      <c r="C22" s="5" t="inlineStr">
        <is>
          <t>Bernardsville</t>
        </is>
      </c>
      <c r="D22" s="5" t="inlineStr">
        <is>
          <t>NJ</t>
        </is>
      </c>
      <c r="E22" s="5" t="inlineStr">
        <is>
          <t>Somerset</t>
        </is>
      </c>
      <c r="F22" s="5" t="n">
        <v>40.7205</v>
      </c>
      <c r="G22" s="5" t="n">
        <v>-74.5735</v>
      </c>
      <c r="H22" s="5" t="inlineStr">
        <is>
          <t>theophany</t>
        </is>
      </c>
      <c r="I22" s="5" t="inlineStr">
        <is>
          <t>haunted library, folklore, ghost lore, colonial history, suicide legend</t>
        </is>
      </c>
      <c r="J22" s="5" t="inlineStr">
        <is>
          <t>The building now housing the Bernardsville Public Library served as the Parker Tavern in the early 1800s, and is associated with Somerset County's most documented ghost: Phyllis Parker, said to have taken her own life after discovering her lover's executed body in the cellar below. Library staff over multiple decades have described a female presence in the upper areas of the building — cold spots that track movement, footsteps in empty rooms, and a persistent unease near the stairwell that new employees reportedly experience before being told the story.</t>
        </is>
      </c>
      <c r="K22" s="5" t="inlineStr">
        <is>
          <t>researched</t>
        </is>
      </c>
      <c r="L22" s="5" t="inlineStr">
        <is>
          <t>None</t>
        </is>
      </c>
      <c r="M22" s="5" t="inlineStr">
        <is>
          <t>None known</t>
        </is>
      </c>
      <c r="N22" s="5" t="inlineStr">
        <is>
          <t>Public library; open during regular library hours; respectful visit welcome</t>
        </is>
      </c>
      <c r="O22" s="5" t="inlineStr">
        <is>
          <t>YES</t>
        </is>
      </c>
      <c r="P22" s="5" t="inlineStr"/>
      <c r="Q22" s="5" t="inlineStr"/>
      <c r="R22" s="5" t="inlineStr">
        <is>
          <t>Story documented by Weird NJ and Mr. Local History Project; building dates to early 1800s; ghost is known as 'Phyllis' among locals</t>
        </is>
      </c>
    </row>
    <row r="23" ht="72" customHeight="1">
      <c r="A23" s="5" t="inlineStr">
        <is>
          <t>Phareloch Castle (Beatty Castle)</t>
        </is>
      </c>
      <c r="B23" s="5" t="inlineStr">
        <is>
          <t>Off Lyons Road</t>
        </is>
      </c>
      <c r="C23" s="5" t="inlineStr">
        <is>
          <t>Liberty Corner</t>
        </is>
      </c>
      <c r="D23" s="5" t="inlineStr">
        <is>
          <t>NJ</t>
        </is>
      </c>
      <c r="E23" s="5" t="inlineStr">
        <is>
          <t>Somerset</t>
        </is>
      </c>
      <c r="F23" s="5" t="n">
        <v>40.694</v>
      </c>
      <c r="G23" s="5" t="n">
        <v>-74.52</v>
      </c>
      <c r="H23" s="5" t="inlineStr">
        <is>
          <t>theophany</t>
        </is>
      </c>
      <c r="I23" s="5" t="inlineStr">
        <is>
          <t>castle ruins, ghost lore, eccentric architecture, paranormal</t>
        </is>
      </c>
      <c r="J23" s="5" t="inlineStr">
        <is>
          <t>A turreted French Norman-style castle built by William Beatty on a quiet cul-de-sac in Liberty Corner, Phareloch Castle was never completed — Beatty died before his vision was realized, and locals report that he has never quite left the building. Multiple TV paranormal shows have investigated the site, with accounts ranging from organ music heard in empty rooms to the smell of pipe smoke and sudden cold in the upper floors. The castle is now a private residence but has been the subject of ongoing local legend for decades.</t>
        </is>
      </c>
      <c r="K23" s="5" t="inlineStr">
        <is>
          <t>researched</t>
        </is>
      </c>
      <c r="L23" s="5" t="inlineStr">
        <is>
          <t>None</t>
        </is>
      </c>
      <c r="M23" s="5" t="inlineStr">
        <is>
          <t>Private residence; do not trespass</t>
        </is>
      </c>
      <c r="N23" s="5" t="inlineStr">
        <is>
          <t>Private residence; visible from road only; do not trespass</t>
        </is>
      </c>
      <c r="O23" s="5" t="inlineStr">
        <is>
          <t>YES</t>
        </is>
      </c>
      <c r="P23" s="5" t="inlineStr"/>
      <c r="Q23" s="5" t="inlineStr"/>
      <c r="R23" s="5" t="inlineStr">
        <is>
          <t>Featured in paranormal TV programs; owner has reportedly lived peacefully with the reported activity; Weird NJ has documented accounts</t>
        </is>
      </c>
    </row>
    <row r="24" ht="72" customHeight="1">
      <c r="A24" s="6" t="inlineStr">
        <is>
          <t>Sacred Heart Spirituality Center</t>
        </is>
      </c>
      <c r="B24" s="6" t="inlineStr">
        <is>
          <t>6 Prospect Street</t>
        </is>
      </c>
      <c r="C24" s="6" t="inlineStr">
        <is>
          <t>Newton</t>
        </is>
      </c>
      <c r="D24" s="6" t="inlineStr">
        <is>
          <t>NJ</t>
        </is>
      </c>
      <c r="E24" s="6" t="inlineStr">
        <is>
          <t>Sussex</t>
        </is>
      </c>
      <c r="F24" s="6" t="n">
        <v>41.0498</v>
      </c>
      <c r="G24" s="6" t="n">
        <v>-74.75539999999999</v>
      </c>
      <c r="H24" s="6" t="inlineStr">
        <is>
          <t>sanctuary</t>
        </is>
      </c>
      <c r="I24" s="6" t="inlineStr">
        <is>
          <t>retreat center, Catholic, house of prayer, Sussex County, spiritual direction</t>
        </is>
      </c>
      <c r="J24" s="6" t="inlineStr">
        <is>
          <t>Nestled in the rolling hills of Sussex County, Sacred Heart Center offers day-long, half-day, and overnight retreat programs in a setting that visitors describe as conducive to deceleration before any program begins. The surrounding landscape — farmland giving way to forested ridgeline — creates what many retreatants note as an involuntary quieting that starts during the drive in. The center is open to individuals and groups across backgrounds.</t>
        </is>
      </c>
      <c r="K24" s="6" t="inlineStr">
        <is>
          <t>researched</t>
        </is>
      </c>
      <c r="L24" s="6" t="inlineStr">
        <is>
          <t>Catholic</t>
        </is>
      </c>
      <c r="M24" s="6" t="inlineStr">
        <is>
          <t>None known</t>
        </is>
      </c>
      <c r="N24" s="6" t="inlineStr">
        <is>
          <t>Open year-round; contact for retreat reservations; individual and group programs available</t>
        </is>
      </c>
      <c r="O24" s="6" t="inlineStr">
        <is>
          <t>YES</t>
        </is>
      </c>
      <c r="P24" s="6" t="inlineStr"/>
      <c r="Q24" s="6" t="inlineStr"/>
      <c r="R24" s="6" t="inlineStr">
        <is>
          <t>Located in Newton, NJ; serves Sussex and Warren County region; affiliated with Archdiocese of Newark</t>
        </is>
      </c>
    </row>
    <row r="25" ht="72" customHeight="1">
      <c r="A25" s="6" t="inlineStr">
        <is>
          <t>St. Paul's Abbey (Newton Priory)</t>
        </is>
      </c>
      <c r="B25" s="6" t="inlineStr">
        <is>
          <t>399 Millbrook Road</t>
        </is>
      </c>
      <c r="C25" s="6" t="inlineStr">
        <is>
          <t>Newton</t>
        </is>
      </c>
      <c r="D25" s="6" t="inlineStr">
        <is>
          <t>NJ</t>
        </is>
      </c>
      <c r="E25" s="6" t="inlineStr">
        <is>
          <t>Sussex</t>
        </is>
      </c>
      <c r="F25" s="6" t="n">
        <v>41.0584</v>
      </c>
      <c r="G25" s="6" t="n">
        <v>-74.7521</v>
      </c>
      <c r="H25" s="6" t="inlineStr">
        <is>
          <t>sanctuary</t>
        </is>
      </c>
      <c r="I25" s="6" t="inlineStr">
        <is>
          <t>Benedictine monastery, retreat house, contemplative, gardens, Catholic</t>
        </is>
      </c>
      <c r="J25" s="6" t="inlineStr">
        <is>
          <t>A Benedictine monastery of Korean and American Catholic monks in the wooded hills of Sussex County, St. Paul's Abbey offers a retreat house where visitors join the monastic rhythm — morning and evening prayer, Mass, meals in common — as a structure for solitude. Guests describe the forest walks, the small church, and the monks' availability for spiritual conversation as quietly transformative. Several retreatants have written that the combination of human hospitality and non-human scale was unexpected: the Abbey makes a particular kind of silence possible.</t>
        </is>
      </c>
      <c r="K25" s="6" t="inlineStr">
        <is>
          <t>researched</t>
        </is>
      </c>
      <c r="L25" s="6" t="inlineStr">
        <is>
          <t>Catholic, Benedictine</t>
        </is>
      </c>
      <c r="M25" s="6" t="inlineStr">
        <is>
          <t>Active monastic community; observe monastery schedule</t>
        </is>
      </c>
      <c r="N25" s="6" t="inlineStr">
        <is>
          <t>Retreat house open for individual and group retreats; contact Abbey in advance to arrange; not a drop-in site</t>
        </is>
      </c>
      <c r="O25" s="6" t="inlineStr">
        <is>
          <t>YES</t>
        </is>
      </c>
      <c r="P25" s="6" t="inlineStr"/>
      <c r="Q25" s="6" t="inlineStr"/>
      <c r="R25" s="6" t="inlineStr">
        <is>
          <t>Website: newtonosb.org; retreat house has 27 double rooms; staffed by Benedictine monks; garden and forest walks on property</t>
        </is>
      </c>
    </row>
    <row r="26" ht="72" customHeight="1">
      <c r="A26" s="6" t="inlineStr">
        <is>
          <t>Cave Grave (The Three Children's Cave)</t>
        </is>
      </c>
      <c r="B26" s="6" t="inlineStr">
        <is>
          <t>Near Oak Ridge Road (exact location per local knowledge)</t>
        </is>
      </c>
      <c r="C26" s="6" t="inlineStr">
        <is>
          <t>Newton</t>
        </is>
      </c>
      <c r="D26" s="6" t="inlineStr">
        <is>
          <t>NJ</t>
        </is>
      </c>
      <c r="E26" s="6" t="inlineStr">
        <is>
          <t>Sussex</t>
        </is>
      </c>
      <c r="F26" s="6" t="n">
        <v>41.0488</v>
      </c>
      <c r="G26" s="6" t="n">
        <v>-74.7512</v>
      </c>
      <c r="H26" s="6" t="inlineStr">
        <is>
          <t>theophany</t>
        </is>
      </c>
      <c r="I26" s="6" t="inlineStr">
        <is>
          <t>cave, folklore, ghost lore, tragedy site, children, sealed burial, Weird NJ</t>
        </is>
      </c>
      <c r="J26" s="6" t="inlineStr">
        <is>
          <t>A gravestone marks the sealed entrance to a cave system beneath Sussex County, memorializing three children — Margaret and her two brothers — who entered to explore in 1909 and were never found. Their names were chiseled into a stone that now caps the cave entrance. Some visitors to the site have reported the apparition of a young girl in a dirty white dress near the marker, clutching her throat — a presence that has been described consistently enough to appear in multiple independent accounts over decades.</t>
        </is>
      </c>
      <c r="K26" s="6" t="inlineStr">
        <is>
          <t>researched</t>
        </is>
      </c>
      <c r="L26" s="6" t="inlineStr">
        <is>
          <t>None</t>
        </is>
      </c>
      <c r="M26" s="6" t="inlineStr">
        <is>
          <t>Possible burial site (bodies never recovered)</t>
        </is>
      </c>
      <c r="N26" s="6" t="inlineStr">
        <is>
          <t>Cave entrance is sealed with memorial stone; exact location circulates in local knowledge; accessible on foot; respectful visitation only</t>
        </is>
      </c>
      <c r="O26" s="6" t="inlineStr">
        <is>
          <t>YES</t>
        </is>
      </c>
      <c r="P26" s="6" t="inlineStr"/>
      <c r="Q26" s="6" t="inlineStr"/>
      <c r="R26" s="6" t="inlineStr">
        <is>
          <t>Documented by Weird NJ; also referenced in Sussex County historical accounts; Lenape used cave systems in this area</t>
        </is>
      </c>
    </row>
    <row r="27" ht="72" customHeight="1">
      <c r="A27" s="6" t="inlineStr">
        <is>
          <t>High Point State Park (High Point Monument Overlook)</t>
        </is>
      </c>
      <c r="B27" s="6" t="inlineStr">
        <is>
          <t>1480 State Route 23</t>
        </is>
      </c>
      <c r="C27" s="6" t="inlineStr">
        <is>
          <t>Sussex</t>
        </is>
      </c>
      <c r="D27" s="6" t="inlineStr">
        <is>
          <t>NJ</t>
        </is>
      </c>
      <c r="E27" s="6" t="inlineStr">
        <is>
          <t>Sussex</t>
        </is>
      </c>
      <c r="F27" s="6" t="n">
        <v>41.3239</v>
      </c>
      <c r="G27" s="6" t="n">
        <v>-74.6609</v>
      </c>
      <c r="H27" s="6" t="inlineStr">
        <is>
          <t>sanctuary</t>
        </is>
      </c>
      <c r="I27" s="6" t="inlineStr">
        <is>
          <t>state park, overlook, scenic vista, monument, peaceful, highest point NJ</t>
        </is>
      </c>
      <c r="J27" s="6" t="inlineStr">
        <is>
          <t>At 1,803 feet, High Point is the highest elevation in New Jersey, and the views from the monument overlook — into three states on clear days — produce in many visitors an experience they struggle to describe as anything other than exposure: a sudden awareness of scale and place that is rare in daily life. The park itself is quiet, well-maintained, and largely unprogrammed; walkers on the ridge trails consistently note the quality of the sky and the particular quality of wind at elevation as arriving before any intentional frame.</t>
        </is>
      </c>
      <c r="K27" s="6" t="inlineStr">
        <is>
          <t>researched</t>
        </is>
      </c>
      <c r="L27" s="6" t="inlineStr">
        <is>
          <t>None</t>
        </is>
      </c>
      <c r="M27" s="6" t="inlineStr">
        <is>
          <t>Historically Lenape and Munsee territory</t>
        </is>
      </c>
      <c r="N27" s="6" t="inlineStr">
        <is>
          <t>State Park; open dawn to dusk; fee for vehicles in season; monument open seasonally; hiking trails year-round</t>
        </is>
      </c>
      <c r="O27" s="6" t="inlineStr">
        <is>
          <t>YES</t>
        </is>
      </c>
      <c r="P27" s="6" t="inlineStr"/>
      <c r="Q27" s="6" t="inlineStr"/>
      <c r="R27" s="6" t="inlineStr">
        <is>
          <t>Highest point in NJ; monument erected 1930 as WWI memorial; Kittatinny Ridge views into NY, NJ, PA on clear days</t>
        </is>
      </c>
    </row>
    <row r="28" ht="72" customHeight="1">
      <c r="A28" s="6" t="inlineStr">
        <is>
          <t>Sterling Hill Mining Museum</t>
        </is>
      </c>
      <c r="B28" s="6" t="inlineStr">
        <is>
          <t>30 Plant Street</t>
        </is>
      </c>
      <c r="C28" s="6" t="inlineStr">
        <is>
          <t>Ogdensburg</t>
        </is>
      </c>
      <c r="D28" s="6" t="inlineStr">
        <is>
          <t>NJ</t>
        </is>
      </c>
      <c r="E28" s="6" t="inlineStr">
        <is>
          <t>Sussex</t>
        </is>
      </c>
      <c r="F28" s="6" t="n">
        <v>41.0855</v>
      </c>
      <c r="G28" s="6" t="n">
        <v>-74.59350000000001</v>
      </c>
      <c r="H28" s="6" t="inlineStr">
        <is>
          <t>theophany</t>
        </is>
      </c>
      <c r="I28" s="6" t="inlineStr">
        <is>
          <t>mine, industrial history, unusual geology, fluorescent minerals, underground, uncanny</t>
        </is>
      </c>
      <c r="J28" s="6" t="inlineStr">
        <is>
          <t>Sterling Hill is home to one of only two American localities for the fluorescent zinc ore franklinite, and the mine tour descends into subterranean passages where rocks glow in extraordinary colors under ultraviolet light — colors that most visitors describe as genuinely disorienting, a category of visual experience that doesn't match any known surface-world referent. Many visitors describe the underground portion of the tour as affecting in a way that precedes any explanation: the weight of the rock above, the darkness, and the alien glow of the minerals combine into something they struggle to name.</t>
        </is>
      </c>
      <c r="K28" s="6" t="inlineStr">
        <is>
          <t>researched</t>
        </is>
      </c>
      <c r="L28" s="6" t="inlineStr">
        <is>
          <t>None</t>
        </is>
      </c>
      <c r="M28" s="6" t="inlineStr">
        <is>
          <t>Active museum; underground passages</t>
        </is>
      </c>
      <c r="N28" s="6" t="inlineStr">
        <is>
          <t>Museum open year-round; underground tours Tuesday–Sunday; check sterling-hill.org for hours and fees</t>
        </is>
      </c>
      <c r="O28" s="6" t="inlineStr">
        <is>
          <t>YES</t>
        </is>
      </c>
      <c r="P28" s="6" t="inlineStr"/>
      <c r="Q28" s="6" t="inlineStr"/>
      <c r="R28" s="6" t="inlineStr">
        <is>
          <t>Website: sterling-hill.org; adjacent Rainbow Room contains largest fluorescent rock display in the world; museum also contains natural history collections</t>
        </is>
      </c>
    </row>
    <row r="29" ht="72" customHeight="1">
      <c r="A29" s="7" t="inlineStr">
        <is>
          <t>Union County Courthouse</t>
        </is>
      </c>
      <c r="B29" s="7" t="inlineStr">
        <is>
          <t>2 Broad Street</t>
        </is>
      </c>
      <c r="C29" s="7" t="inlineStr">
        <is>
          <t>Elizabeth</t>
        </is>
      </c>
      <c r="D29" s="7" t="inlineStr">
        <is>
          <t>NJ</t>
        </is>
      </c>
      <c r="E29" s="7" t="inlineStr">
        <is>
          <t>Union</t>
        </is>
      </c>
      <c r="F29" s="7" t="n">
        <v>40.6643</v>
      </c>
      <c r="G29" s="7" t="n">
        <v>-74.2116</v>
      </c>
      <c r="H29" s="7" t="inlineStr">
        <is>
          <t>theophany</t>
        </is>
      </c>
      <c r="I29" s="7" t="inlineStr">
        <is>
          <t>haunted courthouse, Revolutionary War ghost, ghost lore, Hannah Caldwell</t>
        </is>
      </c>
      <c r="J29" s="7" t="inlineStr">
        <is>
          <t>Investigated by SyFy's Ghost Hunters, the Union County Courthouse is reported to carry the presence of spirits from the Revolutionary War era. A woman's ghost has been seen in the rotunda, and the apparition associated with Hannah Caldwell — considered the first woman killed in the Revolution, shot by British troops in 1780 — is reportedly concentrated in a fifth-floor courtroom. Courthouse employees have described cold spots that move through occupied corridors, and the sensation of being observed in empty rooms.</t>
        </is>
      </c>
      <c r="K29" s="7" t="inlineStr">
        <is>
          <t>researched</t>
        </is>
      </c>
      <c r="L29" s="7" t="inlineStr">
        <is>
          <t>None</t>
        </is>
      </c>
      <c r="M29" s="7" t="inlineStr">
        <is>
          <t>Historical tragedy site; active government building</t>
        </is>
      </c>
      <c r="N29" s="7" t="inlineStr">
        <is>
          <t>Government building; accessible during business hours; no dedicated ghost tours; respectful visitation</t>
        </is>
      </c>
      <c r="O29" s="7" t="inlineStr">
        <is>
          <t>YES</t>
        </is>
      </c>
      <c r="P29" s="7" t="inlineStr"/>
      <c r="Q29" s="7" t="inlineStr"/>
      <c r="R29" s="7" t="inlineStr">
        <is>
          <t>Hannah Caldwell's murder is depicted on the Union County seal; courthouse staff have documented paranormal reports internally</t>
        </is>
      </c>
    </row>
    <row r="30" ht="72" customHeight="1">
      <c r="A30" s="7" t="inlineStr">
        <is>
          <t>Kean University – Wilkins Theater</t>
        </is>
      </c>
      <c r="B30" s="7" t="inlineStr">
        <is>
          <t>1000 Morris Avenue</t>
        </is>
      </c>
      <c r="C30" s="7" t="inlineStr">
        <is>
          <t>Union</t>
        </is>
      </c>
      <c r="D30" s="7" t="inlineStr">
        <is>
          <t>NJ</t>
        </is>
      </c>
      <c r="E30" s="7" t="inlineStr">
        <is>
          <t>Union</t>
        </is>
      </c>
      <c r="F30" s="7" t="n">
        <v>40.679</v>
      </c>
      <c r="G30" s="7" t="n">
        <v>-74.2329</v>
      </c>
      <c r="H30" s="7" t="inlineStr">
        <is>
          <t>theophany</t>
        </is>
      </c>
      <c r="I30" s="7" t="inlineStr">
        <is>
          <t>haunted theater, university, ghost lore, performing arts</t>
        </is>
      </c>
      <c r="J30" s="7" t="inlineStr">
        <is>
          <t>Kean University's campus carries a reputation for paranormal activity at multiple locations, with the Wilkins Theater as the primary focus of accounts. Theater staff and students describe the phenomena characteristic of performance spaces that have absorbed decades of charged artistic work — unexplained sounds in silent rehearsals, a presence in the backstage corridors, and doors that operate independently of the living. The theater is considered by several paranormal researchers to have one of the more active environments in Union County.</t>
        </is>
      </c>
      <c r="K30" s="7" t="inlineStr">
        <is>
          <t>researched</t>
        </is>
      </c>
      <c r="L30" s="7" t="inlineStr">
        <is>
          <t>None</t>
        </is>
      </c>
      <c r="M30" s="7" t="inlineStr">
        <is>
          <t>Active university campus</t>
        </is>
      </c>
      <c r="N30" s="7" t="inlineStr">
        <is>
          <t>University campus; publicly accessible during operating hours; Wilkins Theater open for performances and events</t>
        </is>
      </c>
      <c r="O30" s="7" t="inlineStr">
        <is>
          <t>YES</t>
        </is>
      </c>
      <c r="P30" s="7" t="inlineStr"/>
      <c r="Q30" s="7" t="inlineStr"/>
      <c r="R30" s="7" t="inlineStr">
        <is>
          <t>Kean University established 1958 (as Kean College); Wilkins Theater is the primary performing arts venue; the ghost is described as non-threatening</t>
        </is>
      </c>
    </row>
    <row r="31" ht="72" customHeight="1">
      <c r="A31" s="7" t="inlineStr">
        <is>
          <t>Benedictine Center for Spirituality (St. Walburga Monastery)</t>
        </is>
      </c>
      <c r="B31" s="7" t="inlineStr">
        <is>
          <t>851 North Broad Street</t>
        </is>
      </c>
      <c r="C31" s="7" t="inlineStr">
        <is>
          <t>Elizabeth</t>
        </is>
      </c>
      <c r="D31" s="7" t="inlineStr">
        <is>
          <t>NJ</t>
        </is>
      </c>
      <c r="E31" s="7" t="inlineStr">
        <is>
          <t>Union</t>
        </is>
      </c>
      <c r="F31" s="7" t="n">
        <v>40.6693</v>
      </c>
      <c r="G31" s="7" t="n">
        <v>-74.1777</v>
      </c>
      <c r="H31" s="7" t="inlineStr">
        <is>
          <t>sanctuary</t>
        </is>
      </c>
      <c r="I31" s="7" t="inlineStr">
        <is>
          <t>monastery, Benedictine, retreat center, urban, contemplative, spiritual direction</t>
        </is>
      </c>
      <c r="J31" s="7" t="inlineStr">
        <is>
          <t>An urban monastery of Benedictine Sisters in the heart of Elizabeth, offering retreat programs, spiritual direction, and a contemplative atmosphere that visitors describe as strikingly incongruous with the surrounding city — a quality of quiet that feels located and intentional rather than accidental. The Sisters follow the Benedictine tradition of hospitality and welcome seekers of all backgrounds for programs throughout the year. The contrast between the noise outside the door and the silence inside is itself part of what retreatants consistently note.</t>
        </is>
      </c>
      <c r="K31" s="7" t="inlineStr">
        <is>
          <t>researched</t>
        </is>
      </c>
      <c r="L31" s="7" t="inlineStr">
        <is>
          <t>Catholic, Benedictine</t>
        </is>
      </c>
      <c r="M31" s="7" t="inlineStr">
        <is>
          <t>Active religious community</t>
        </is>
      </c>
      <c r="N31" s="7" t="inlineStr">
        <is>
          <t>Contact for programs and retreats; not a drop-in site; advance arrangement required</t>
        </is>
      </c>
      <c r="O31" s="7" t="inlineStr">
        <is>
          <t>YES</t>
        </is>
      </c>
      <c r="P31" s="7" t="inlineStr"/>
      <c r="Q31" s="7" t="inlineStr"/>
      <c r="R31" s="7" t="inlineStr">
        <is>
          <t>Website: bensisnj.org; located in Elizabeth, Union County; full name: Benedictine Sisters of Elizabeth NJ</t>
        </is>
      </c>
    </row>
    <row r="32" ht="72" customHeight="1">
      <c r="A32" s="7" t="inlineStr">
        <is>
          <t>Gallows Hill Road (Westfield Hanging Tree Site)</t>
        </is>
      </c>
      <c r="B32" s="7" t="inlineStr">
        <is>
          <t>Corner of Gallows Hill Road and Brookside Place</t>
        </is>
      </c>
      <c r="C32" s="7" t="inlineStr">
        <is>
          <t>Westfield</t>
        </is>
      </c>
      <c r="D32" s="7" t="inlineStr">
        <is>
          <t>NJ</t>
        </is>
      </c>
      <c r="E32" s="7" t="inlineStr">
        <is>
          <t>Union</t>
        </is>
      </c>
      <c r="F32" s="7" t="n">
        <v>40.6509</v>
      </c>
      <c r="G32" s="7" t="n">
        <v>-74.34610000000001</v>
      </c>
      <c r="H32" s="7" t="inlineStr">
        <is>
          <t>theophany</t>
        </is>
      </c>
      <c r="I32" s="7" t="inlineStr">
        <is>
          <t>haunted landmark, Revolutionary War, hanging tree, ghost lore, colonial history</t>
        </is>
      </c>
      <c r="J32" s="7" t="inlineStr">
        <is>
          <t>At the intersection of Gallows Hill Road and Brookside Place once stood a large tree where Revolutionary War spies were executed by hanging. The tree is gone now, but locals describe seeing spectral movement at the intersection from a distance — shadowy figures near the road's edge that resolve into nothing when approached directly. The area carries the residue of a place where violence was public and intentional, and the name of the road is itself a kind of ongoing marker.</t>
        </is>
      </c>
      <c r="K32" s="7" t="inlineStr">
        <is>
          <t>researched</t>
        </is>
      </c>
      <c r="L32" s="7" t="inlineStr">
        <is>
          <t>None</t>
        </is>
      </c>
      <c r="M32" s="7" t="inlineStr">
        <is>
          <t>Historical execution site</t>
        </is>
      </c>
      <c r="N32" s="7" t="inlineStr">
        <is>
          <t>Public intersection; residential neighborhood; respectful visitation</t>
        </is>
      </c>
      <c r="O32" s="7" t="inlineStr">
        <is>
          <t>YES</t>
        </is>
      </c>
      <c r="P32" s="7" t="inlineStr"/>
      <c r="Q32" s="7" t="inlineStr"/>
      <c r="R32" s="7" t="inlineStr">
        <is>
          <t>Documented in NJ paranormal resources; tree no longer standing; site is a residential intersection; the name 'Gallows Hill Road' predates suburbanization</t>
        </is>
      </c>
    </row>
    <row r="33" ht="72" customHeight="1">
      <c r="A33" s="7" t="inlineStr">
        <is>
          <t>Watchung Reservation</t>
        </is>
      </c>
      <c r="B33" s="7" t="inlineStr">
        <is>
          <t>New Providence Road (primary entrance)</t>
        </is>
      </c>
      <c r="C33" s="7" t="inlineStr">
        <is>
          <t>Mountainside</t>
        </is>
      </c>
      <c r="D33" s="7" t="inlineStr">
        <is>
          <t>NJ</t>
        </is>
      </c>
      <c r="E33" s="7" t="inlineStr">
        <is>
          <t>Union</t>
        </is>
      </c>
      <c r="F33" s="7" t="n">
        <v>40.6576</v>
      </c>
      <c r="G33" s="7" t="n">
        <v>-74.36069999999999</v>
      </c>
      <c r="H33" s="7" t="inlineStr">
        <is>
          <t>both</t>
        </is>
      </c>
      <c r="I33" s="7" t="inlineStr">
        <is>
          <t>nature reserve, urban wilderness, cemetery, quiet trails, contemplative, Trailside Museum</t>
        </is>
      </c>
      <c r="J33" s="7" t="inlineStr">
        <is>
          <t>The Watchung Reservation — Union County's largest park at 2,000 acres — encompasses the Deserted Village of Feltville, a 19th-century mill town abandoned in 1882 whose intact houses and church create an atmosphere described by many visitors as a step out of time. The forest itself is noted for unusual quiet within earshot of major highways, and the Trailside Nature and Science Center offers a grounded, secular experience of the reservation's ecological and human depth. The abandoned village structures are eerie in a productive way — not threatening, but insistently strange.</t>
        </is>
      </c>
      <c r="K33" s="7" t="inlineStr">
        <is>
          <t>researched</t>
        </is>
      </c>
      <c r="L33" s="7" t="inlineStr">
        <is>
          <t>None</t>
        </is>
      </c>
      <c r="M33" s="7" t="inlineStr">
        <is>
          <t>Historically Lenape territory; Deserted Village is a cultural landscape</t>
        </is>
      </c>
      <c r="N33" s="7" t="inlineStr">
        <is>
          <t>County park; open dawn to dusk; multiple trail entrances; Trailside Museum free; Deserted Village accessible on foot via trails</t>
        </is>
      </c>
      <c r="O33" s="7" t="inlineStr">
        <is>
          <t>YES</t>
        </is>
      </c>
      <c r="P33" s="7" t="inlineStr"/>
      <c r="Q33" s="7" t="inlineStr"/>
      <c r="R33" s="7" t="inlineStr">
        <is>
          <t>Deserted Village of Feltville is one of NJ's best-preserved ghost towns; also contains Seeley's Pond and several trail loops; Trailside Museum has natural history exhibits</t>
        </is>
      </c>
    </row>
    <row r="34" ht="72" customHeight="1">
      <c r="A34" s="8" t="inlineStr">
        <is>
          <t>Shades of Death Road</t>
        </is>
      </c>
      <c r="B34" s="8" t="inlineStr">
        <is>
          <t>Shades of Death Road (southern end at Hope Rd/CR 611)</t>
        </is>
      </c>
      <c r="C34" s="8" t="inlineStr">
        <is>
          <t>Great Meadows</t>
        </is>
      </c>
      <c r="D34" s="8" t="inlineStr">
        <is>
          <t>NJ</t>
        </is>
      </c>
      <c r="E34" s="8" t="inlineStr">
        <is>
          <t>Warren</t>
        </is>
      </c>
      <c r="F34" s="8" t="n">
        <v>40.8869</v>
      </c>
      <c r="G34" s="8" t="n">
        <v>-74.89279999999999</v>
      </c>
      <c r="H34" s="8" t="inlineStr">
        <is>
          <t>theophany</t>
        </is>
      </c>
      <c r="I34" s="8" t="inlineStr">
        <is>
          <t>haunted road, folklore, ghost lore, local legend, bizarre named road, Warren County</t>
        </is>
      </c>
      <c r="J34" s="8" t="inlineStr">
        <is>
          <t>A 6.7-mile two-lane rural road alongside Jenny Jump State Forest, Shades of Death Road is among the most richly folklored named roads in America. Its macabre name may derive from highwaymen who preyed on early travelers, malarial swamps, or a series of 1920s murders — all theories coexist without resolution. Visitors driving the road consistently describe a particular quality of dimness even at midday (the ancient tree canopy creates genuine shadow), and many report the sensation of time stretching or compressing in ways they cannot account for.</t>
        </is>
      </c>
      <c r="K34" s="8" t="inlineStr">
        <is>
          <t>researched</t>
        </is>
      </c>
      <c r="L34" s="8" t="inlineStr">
        <is>
          <t>None</t>
        </is>
      </c>
      <c r="M34" s="8" t="inlineStr">
        <is>
          <t>Lenape archaeological sites in adjacent Jenny Jump State Forest; Lenape Fairy Hole cave nearby; human remains reportedly associated with area historically</t>
        </is>
      </c>
      <c r="N34" s="8" t="inlineStr">
        <is>
          <t>Public road; functional rural road with residents; drive with care; sign theft is a documented issue; do not trespass on private property</t>
        </is>
      </c>
      <c r="O34" s="8" t="inlineStr">
        <is>
          <t>YES</t>
        </is>
      </c>
      <c r="P34" s="8" t="inlineStr"/>
      <c r="Q34" s="8" t="inlineStr"/>
      <c r="R34" s="8" t="inlineStr">
        <is>
          <t>Ghost Lake is just off the road south of I-80; Fairy Hole (Lenape cave) is to the right of Ghost Lake; featured on SyFy Haunted Highway; Weird NJ has published multiple issues on the road</t>
        </is>
      </c>
    </row>
    <row r="35" ht="72" customHeight="1">
      <c r="A35" s="8" t="inlineStr">
        <is>
          <t>Ghost Lake</t>
        </is>
      </c>
      <c r="B35" s="8" t="inlineStr">
        <is>
          <t>Off Shades of Death Rd, south of I-80 overpass</t>
        </is>
      </c>
      <c r="C35" s="8" t="inlineStr">
        <is>
          <t>Great Meadows</t>
        </is>
      </c>
      <c r="D35" s="8" t="inlineStr">
        <is>
          <t>NJ</t>
        </is>
      </c>
      <c r="E35" s="8" t="inlineStr">
        <is>
          <t>Warren</t>
        </is>
      </c>
      <c r="F35" s="8" t="n">
        <v>40.9237</v>
      </c>
      <c r="G35" s="8" t="n">
        <v>-74.87479999999999</v>
      </c>
      <c r="H35" s="8" t="inlineStr">
        <is>
          <t>both</t>
        </is>
      </c>
      <c r="I35" s="8" t="inlineStr">
        <is>
          <t>haunted lake, folklore, ghost lore, mist, paranormal, Lenape, natural wonder</t>
        </is>
      </c>
      <c r="J35" s="8" t="inlineStr">
        <is>
          <t>A small lake created in the early 20th century when two wealthy landowners dammed a local creek, Ghost Lake received its name from the wraithlike vapor formations its creators observed rising from the water on cool mornings — they called the pass 'Haunted Hollow.' Visitors today report that the sky above the lake appears consistently brighter than surrounding conditions, regardless of weather or hour, and many describe a sensation of being watched from the far shore, where a ruined cabin sits half-obscured by vegetation.</t>
        </is>
      </c>
      <c r="K35" s="8" t="inlineStr">
        <is>
          <t>researched</t>
        </is>
      </c>
      <c r="L35" s="8" t="inlineStr">
        <is>
          <t>None</t>
        </is>
      </c>
      <c r="M35" s="8" t="inlineStr">
        <is>
          <t>Lenape Fairy Hole cave is directly adjacent; possible historical Indigenous use of adjacent cave system</t>
        </is>
      </c>
      <c r="N35" s="8" t="inlineStr">
        <is>
          <t>Accessible from roadside pulloff south of I-80 on Shades of Death Rd; part of Jenny Jump State Forest area; hiking access on foot; daylight access recommended</t>
        </is>
      </c>
      <c r="O35" s="8" t="inlineStr">
        <is>
          <t>YES</t>
        </is>
      </c>
      <c r="P35" s="8" t="inlineStr"/>
      <c r="Q35" s="8" t="inlineStr"/>
      <c r="R35" s="8" t="inlineStr">
        <is>
          <t>The Fairy Hole (Lenape cave) to the right of Ghost Lake was confirmed by 1918 archaeologists to contain pottery shards, flint, and arrowheads; flag for Indigenous review</t>
        </is>
      </c>
    </row>
    <row r="36" ht="72" customHeight="1">
      <c r="A36" s="8" t="inlineStr">
        <is>
          <t>The Fairy Hole (Lenape Cave near Ghost Lake)</t>
        </is>
      </c>
      <c r="B36" s="8" t="inlineStr">
        <is>
          <t>Adjacent to Ghost Lake, off Shades of Death Rd</t>
        </is>
      </c>
      <c r="C36" s="8" t="inlineStr">
        <is>
          <t>Great Meadows</t>
        </is>
      </c>
      <c r="D36" s="8" t="inlineStr">
        <is>
          <t>NJ</t>
        </is>
      </c>
      <c r="E36" s="8" t="inlineStr">
        <is>
          <t>Warren</t>
        </is>
      </c>
      <c r="F36" s="8" t="n">
        <v>40.923</v>
      </c>
      <c r="G36" s="8" t="n">
        <v>-74.87520000000001</v>
      </c>
      <c r="H36" s="8" t="inlineStr">
        <is>
          <t>both</t>
        </is>
      </c>
      <c r="I36" s="8" t="inlineStr">
        <is>
          <t>cave, Lenape, Indigenous, sacred site, archaeological, paranormal, folklore</t>
        </is>
      </c>
      <c r="J36" s="8" t="inlineStr">
        <is>
          <t>A small cave to the right of Ghost Lake along Shades of Death Road, documented by archaeologists in 1918 who found pottery shards, flint, and broken arrowheads, indicating regular Lenape use. The cave is now accessible and largely covered in graffiti, but its proximity to known Lenape burial sites leads some researchers to believe it may have held ceremonial or spiritual significance to the Lenape. Multiple visitors have reported the figure of a Native American man near the cave entrance.</t>
        </is>
      </c>
      <c r="K36" s="8" t="inlineStr">
        <is>
          <t>researched</t>
        </is>
      </c>
      <c r="L36" s="8" t="inlineStr">
        <is>
          <t>Lenape</t>
        </is>
      </c>
      <c r="M36" s="8" t="inlineStr">
        <is>
          <t>Confirmed Indigenous archaeological site; Lenape ancestral use; proximity to known Lenape burial sites — flag for Ethics/Indigenous review before publishing</t>
        </is>
      </c>
      <c r="N36" s="8" t="inlineStr">
        <is>
          <t>Accessible on foot from Ghost Lake pulloff; cave entrance is ungated but graffiti-covered; exercise respect</t>
        </is>
      </c>
      <c r="O36" s="8" t="inlineStr">
        <is>
          <t>YES</t>
        </is>
      </c>
      <c r="P36" s="8" t="inlineStr"/>
      <c r="Q36" s="8" t="inlineStr"/>
      <c r="R36" s="8" t="inlineStr">
        <is>
          <t>ETHICS FLAG: This is a confirmed Indigenous archaeological site; description must be reviewed before app publication; do not encourage 'investigation' of the cave; 1918 archaeological survey is documented</t>
        </is>
      </c>
    </row>
    <row r="37" ht="72" customHeight="1">
      <c r="A37" s="8" t="inlineStr">
        <is>
          <t>Jenny Jump State Forest</t>
        </is>
      </c>
      <c r="B37" s="8" t="inlineStr">
        <is>
          <t>State Park Road</t>
        </is>
      </c>
      <c r="C37" s="8" t="inlineStr">
        <is>
          <t>Great Meadows</t>
        </is>
      </c>
      <c r="D37" s="8" t="inlineStr">
        <is>
          <t>NJ</t>
        </is>
      </c>
      <c r="E37" s="8" t="inlineStr">
        <is>
          <t>Warren</t>
        </is>
      </c>
      <c r="F37" s="8" t="n">
        <v>40.876</v>
      </c>
      <c r="G37" s="8" t="n">
        <v>-74.884</v>
      </c>
      <c r="H37" s="8" t="inlineStr">
        <is>
          <t>both</t>
        </is>
      </c>
      <c r="I37" s="8" t="inlineStr">
        <is>
          <t>state forest, ghost lore, nature, hiking, haunted woods, folklore, scenic overlook</t>
        </is>
      </c>
      <c r="J37" s="8" t="inlineStr">
        <is>
          <t>Jenny Jump takes its name from a legend whose variant versions reflect generations of storytelling: a child fleeing in panic from an encounter in the woods, her father's voice urging her to jump from a cliff. The legend is now understood by historians to encode colonial-era anxieties about Native peoples, and some versions have been revised in response. The forest itself — rocky ridges, dense canopy, and valley overlooks — creates what visitors consistently describe as two registers at once: the straightforwardly beautiful and the subtly unsettling, an atmosphere many describe as charged.</t>
        </is>
      </c>
      <c r="K37" s="8" t="inlineStr">
        <is>
          <t>researched</t>
        </is>
      </c>
      <c r="L37" s="8" t="inlineStr">
        <is>
          <t>None</t>
        </is>
      </c>
      <c r="M37" s="8" t="inlineStr">
        <is>
          <t>The Jenny Jump legend may involve distorted accounts of Lenape people; Lenape/Munsee territory; exercise care in sharing the legend in full</t>
        </is>
      </c>
      <c r="N37" s="8" t="inlineStr">
        <is>
          <t>State Forest; open dawn to dusk; camping, hiking, equestrian trails; multiple trailheads; free</t>
        </is>
      </c>
      <c r="O37" s="8" t="inlineStr">
        <is>
          <t>YES</t>
        </is>
      </c>
      <c r="P37" s="8" t="inlineStr"/>
      <c r="Q37" s="8" t="inlineStr"/>
      <c r="R37" s="8" t="inlineStr">
        <is>
          <t>Shares western border with Shades of Death Road; Camping Area A has skyline views; summit offers views into NJ highlands; legend origin uncertain</t>
        </is>
      </c>
    </row>
    <row r="38" ht="72" customHeight="1">
      <c r="A38" s="8" t="inlineStr">
        <is>
          <t>Johnsonburg Camp &amp; Retreat Center</t>
        </is>
      </c>
      <c r="B38" s="8" t="inlineStr">
        <is>
          <t>29 Johnsonburg Camp Road</t>
        </is>
      </c>
      <c r="C38" s="8" t="inlineStr">
        <is>
          <t>Johnsonburg</t>
        </is>
      </c>
      <c r="D38" s="8" t="inlineStr">
        <is>
          <t>NJ</t>
        </is>
      </c>
      <c r="E38" s="8" t="inlineStr">
        <is>
          <t>Warren</t>
        </is>
      </c>
      <c r="F38" s="8" t="n">
        <v>40.956</v>
      </c>
      <c r="G38" s="8" t="n">
        <v>-74.91759999999999</v>
      </c>
      <c r="H38" s="8" t="inlineStr">
        <is>
          <t>sanctuary</t>
        </is>
      </c>
      <c r="I38" s="8" t="inlineStr">
        <is>
          <t>retreat center, Presbyterian, labyrinth, outdoor chapel, trails, 400 acres, conference center</t>
        </is>
      </c>
      <c r="J38" s="8" t="inlineStr">
        <is>
          <t>A 400-acre Presbyterian conference and retreat center in the northwest New Jersey highlands, Johnsonburg offers outdoor chapels, a labyrinth walk, seven miles of wooded trails, and a variety of year-round lodging and program options. Visitors describe the landscape as unusually restorative — the scale of the hills and the quietness of the valley create what many call an involuntary slowing, a shift in pace that precedes any intentional spiritual work. Sabbath days, personal retreat time, and structured programs are all available.</t>
        </is>
      </c>
      <c r="K38" s="8" t="inlineStr">
        <is>
          <t>researched</t>
        </is>
      </c>
      <c r="L38" s="8" t="inlineStr">
        <is>
          <t>Presbyterian Church (USA)</t>
        </is>
      </c>
      <c r="M38" s="8" t="inlineStr">
        <is>
          <t>None known</t>
        </is>
      </c>
      <c r="N38" s="8" t="inlineStr">
        <is>
          <t>Open year-round; reservations required for overnight and program stays; day use welcome; contact campjburg.org</t>
        </is>
      </c>
      <c r="O38" s="8" t="inlineStr">
        <is>
          <t>YES</t>
        </is>
      </c>
      <c r="P38" s="8" t="inlineStr"/>
      <c r="Q38" s="8" t="inlineStr"/>
      <c r="R38" s="8" t="inlineStr">
        <is>
          <t>Website: campjburg.org; 400 acres with year-round lodging and dining; labyrinth and outdoor chapels on grounds; seven miles of trails</t>
        </is>
      </c>
    </row>
    <row r="39" ht="72" customHeight="1">
      <c r="A39" s="8" t="inlineStr">
        <is>
          <t>Centenary University (Tillie Smith Ghost)</t>
        </is>
      </c>
      <c r="B39" s="8" t="inlineStr">
        <is>
          <t>400 Jefferson Street</t>
        </is>
      </c>
      <c r="C39" s="8" t="inlineStr">
        <is>
          <t>Hackettstown</t>
        </is>
      </c>
      <c r="D39" s="8" t="inlineStr">
        <is>
          <t>NJ</t>
        </is>
      </c>
      <c r="E39" s="8" t="inlineStr">
        <is>
          <t>Warren</t>
        </is>
      </c>
      <c r="F39" s="8" t="n">
        <v>40.8551</v>
      </c>
      <c r="G39" s="8" t="n">
        <v>-74.8193</v>
      </c>
      <c r="H39" s="8" t="inlineStr">
        <is>
          <t>theophany</t>
        </is>
      </c>
      <c r="I39" s="8" t="inlineStr">
        <is>
          <t>haunted university, ghost lore, unsolved murder, Victorian era, cold case</t>
        </is>
      </c>
      <c r="J39" s="8" t="inlineStr">
        <is>
          <t>Centenary University (formerly Centenary College) is associated with Tillie Smith, a kitchen worker murdered on campus grounds in 1886 in a case that was never definitively solved. Her ghost is reported on campus and in the adjacent Union Cemetery, described by those who claim to have encountered her as a quiet and persistent presence — particularly in the older buildings and near the cemetery grounds. The Tillie Smith case remains one of Warren County's most referenced historical cold cases and is documented in the National Register of Historic Places context.</t>
        </is>
      </c>
      <c r="K39" s="8" t="inlineStr">
        <is>
          <t>researched</t>
        </is>
      </c>
      <c r="L39" s="8" t="inlineStr">
        <is>
          <t>Methodist (historically)</t>
        </is>
      </c>
      <c r="M39" s="8" t="inlineStr">
        <is>
          <t>Unsolved murder; burial ground nearby (Union Cemetery); active campus</t>
        </is>
      </c>
      <c r="N39" s="8" t="inlineStr">
        <is>
          <t>University campus; publicly accessible during day hours; Union Cemetery accessible separately</t>
        </is>
      </c>
      <c r="O39" s="8" t="inlineStr">
        <is>
          <t>YES</t>
        </is>
      </c>
      <c r="P39" s="8" t="inlineStr"/>
      <c r="Q39" s="8" t="inlineStr"/>
      <c r="R39" s="8" t="inlineStr">
        <is>
          <t>Tillie Smith's grave is in Union Cemetery, Hackettstown; the case was covered in contemporary newspapers and in NJ paranormal literature; Centenary University was founded 1867 as a Methodist college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45" customWidth="1" min="1" max="1"/>
    <col width="45" customWidth="1" min="2" max="2"/>
  </cols>
  <sheetData>
    <row r="1">
      <c r="A1" s="9" t="inlineStr">
        <is>
          <t>BETWEEN App — NJ-3 Research Summary</t>
        </is>
      </c>
    </row>
    <row r="3">
      <c r="A3" s="10" t="inlineStr">
        <is>
          <t>Section:</t>
        </is>
      </c>
      <c r="B3" s="10" t="inlineStr">
        <is>
          <t>NJ-3</t>
        </is>
      </c>
    </row>
    <row r="4">
      <c r="A4" s="10" t="inlineStr">
        <is>
          <t>Counties covered:</t>
        </is>
      </c>
      <c r="B4" s="10" t="inlineStr">
        <is>
          <t>Ocean, Passaic, Salem, Somerset, Sussex, Union, Warren</t>
        </is>
      </c>
    </row>
    <row r="5">
      <c r="A5" s="10" t="inlineStr">
        <is>
          <t>Total entries:</t>
        </is>
      </c>
      <c r="B5" s="10">
        <f>COUNTA('NJ-3 Places'!A2:A1000)</f>
        <v/>
      </c>
    </row>
    <row r="6">
      <c r="A6" s="10" t="inlineStr">
        <is>
          <t>Researcher:</t>
        </is>
      </c>
      <c r="B6" s="10" t="inlineStr">
        <is>
          <t>[Your Last Name]</t>
        </is>
      </c>
    </row>
    <row r="7">
      <c r="A7" s="10" t="inlineStr">
        <is>
          <t>Date completed:</t>
        </is>
      </c>
      <c r="B7" s="10" t="inlineStr">
        <is>
          <t>April 2026</t>
        </is>
      </c>
    </row>
    <row r="8">
      <c r="A8" s="10" t="n"/>
      <c r="B8" s="10" t="n"/>
    </row>
    <row r="9">
      <c r="A9" s="10" t="inlineStr">
        <is>
          <t>Entries by County:</t>
        </is>
      </c>
      <c r="B9" s="10" t="n"/>
    </row>
    <row r="10">
      <c r="A10" s="10" t="inlineStr">
        <is>
          <t>Ocean</t>
        </is>
      </c>
      <c r="B10" s="10">
        <f>COUNTIF('NJ-3 Places'!E:E,"Ocean")</f>
        <v/>
      </c>
    </row>
    <row r="11">
      <c r="A11" s="10" t="inlineStr">
        <is>
          <t>Passaic</t>
        </is>
      </c>
      <c r="B11" s="10">
        <f>COUNTIF('NJ-3 Places'!E:E,"Passaic")</f>
        <v/>
      </c>
    </row>
    <row r="12">
      <c r="A12" s="10" t="inlineStr">
        <is>
          <t>Salem</t>
        </is>
      </c>
      <c r="B12" s="10">
        <f>COUNTIF('NJ-3 Places'!E:E,"Salem")</f>
        <v/>
      </c>
    </row>
    <row r="13">
      <c r="A13" s="10" t="inlineStr">
        <is>
          <t>Somerset</t>
        </is>
      </c>
      <c r="B13" s="10">
        <f>COUNTIF('NJ-3 Places'!E:E,"Somerset")</f>
        <v/>
      </c>
    </row>
    <row r="14">
      <c r="A14" s="10" t="inlineStr">
        <is>
          <t>Sussex</t>
        </is>
      </c>
      <c r="B14" s="10">
        <f>COUNTIF('NJ-3 Places'!E:E,"Sussex")</f>
        <v/>
      </c>
    </row>
    <row r="15">
      <c r="A15" s="10" t="inlineStr">
        <is>
          <t>Union</t>
        </is>
      </c>
      <c r="B15" s="10">
        <f>COUNTIF('NJ-3 Places'!E:E,"Union")</f>
        <v/>
      </c>
    </row>
    <row r="16">
      <c r="A16" s="10" t="inlineStr">
        <is>
          <t>Warren</t>
        </is>
      </c>
      <c r="B16" s="10">
        <f>COUNTIF('NJ-3 Places'!E:E,"Warren")</f>
        <v/>
      </c>
    </row>
    <row r="17">
      <c r="A17" s="10" t="n"/>
      <c r="B17" s="10" t="n"/>
    </row>
    <row r="18">
      <c r="A18" s="10" t="inlineStr">
        <is>
          <t>Entries by Mode:</t>
        </is>
      </c>
      <c r="B18" s="10" t="n"/>
    </row>
    <row r="19">
      <c r="A19" s="10" t="inlineStr">
        <is>
          <t>sanctuary</t>
        </is>
      </c>
      <c r="B19" s="10">
        <f>COUNTIF('NJ-3 Places'!H:H,"sanctuary")</f>
        <v/>
      </c>
    </row>
    <row r="20">
      <c r="A20" s="10" t="inlineStr">
        <is>
          <t>theophany</t>
        </is>
      </c>
      <c r="B20" s="10">
        <f>COUNTIF('NJ-3 Places'!H:H,"theophany")</f>
        <v/>
      </c>
    </row>
    <row r="21">
      <c r="A21" s="10" t="inlineStr">
        <is>
          <t>both</t>
        </is>
      </c>
      <c r="B21" s="10">
        <f>COUNTIF('NJ-3 Places'!H:H,"both")</f>
        <v/>
      </c>
    </row>
    <row r="22">
      <c r="A22" s="10" t="n"/>
      <c r="B22" s="10" t="n"/>
    </row>
    <row r="23">
      <c r="A23" s="10" t="inlineStr">
        <is>
          <t>Indigenous Flag YES:</t>
        </is>
      </c>
      <c r="B23" s="10">
        <f>COUNTIF('NJ-3 Places'!O:O,"YES")</f>
        <v/>
      </c>
    </row>
    <row r="24">
      <c r="A24" s="10" t="inlineStr">
        <is>
          <t>Notes for ethics review:</t>
        </is>
      </c>
      <c r="B24" s="10" t="inlineStr">
        <is>
          <t>Flag The Fairy Hole (confirmed Lenape archaeological site) and The Old Salem Oak (Lenape treaty site) and Ringwood Manor (Ramapough Lenape Nation ties) before publishing.</t>
        </is>
      </c>
    </row>
    <row r="25">
      <c r="A25" s="10" t="n"/>
      <c r="B25" s="1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2026-04-02T19:29:03Z</dcterms:created>
  <dcterms:modified xmlns:dcterms="http://purl.org/dc/terms/" xmlns:xsi="http://www.w3.org/2001/XMLSchema-instance" xsi:type="dcterms:W3CDTF">2026-04-02T19:29:03Z</dcterms:modified>
</cp:coreProperties>
</file>